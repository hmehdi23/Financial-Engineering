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trlProps/ctrlProp6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4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yedhassanmehdi/Library/Containers/com.apple.mail/Data/Library/Mail Downloads/8844E4FB-C8F4-42E9-8EB8-5BDF7F45C2F2/"/>
    </mc:Choice>
  </mc:AlternateContent>
  <bookViews>
    <workbookView xWindow="0" yWindow="460" windowWidth="28800" windowHeight="16720" activeTab="2"/>
  </bookViews>
  <sheets>
    <sheet name="Q2 and 3" sheetId="18" r:id="rId1"/>
    <sheet name="Unconstrained EF (Q4)" sheetId="1" r:id="rId2"/>
    <sheet name="Constrained EF (Q5)" sheetId="3" r:id="rId3"/>
    <sheet name="Q6" sheetId="19" r:id="rId4"/>
    <sheet name="Summary (Q7)" sheetId="17" r:id="rId5"/>
    <sheet name="Indices (5 years)" sheetId="12" r:id="rId6"/>
    <sheet name="Indices (10 years)" sheetId="14" r:id="rId7"/>
    <sheet name="Indices (20 years)" sheetId="15" r:id="rId8"/>
    <sheet name="Indices (30 years)" sheetId="16" r:id="rId9"/>
  </sheets>
  <definedNames>
    <definedName name="_xlchart.v1.0" hidden="1">'Unconstrained EF (Q4)'!$A$3:$A$106</definedName>
    <definedName name="_xlchart.v1.1" hidden="1">'Unconstrained EF (Q4)'!$E$3:$E$106</definedName>
    <definedName name="_xlchart.v1.2" hidden="1">'Unconstrained EF (Q4)'!$A$2:$A$106</definedName>
    <definedName name="_xlchart.v1.3" hidden="1">'Unconstrained EF (Q4)'!$D$2:$D$106</definedName>
    <definedName name="change" localSheetId="2">'Constrained EF (Q5)'!$Q$23:$T$23</definedName>
    <definedName name="change" localSheetId="6">'Indices (10 years)'!$Q$23:$S$23</definedName>
    <definedName name="change" localSheetId="7">'Indices (20 years)'!$Q$23:$S$23</definedName>
    <definedName name="change" localSheetId="8">'Indices (30 years)'!$Q$23:$S$23</definedName>
    <definedName name="change" localSheetId="5">'Indices (5 years)'!$Q$23:$S$23</definedName>
    <definedName name="change">'Unconstrained EF (Q4)'!$Q$23:$T$23</definedName>
    <definedName name="expReturn" localSheetId="2">'Constrained EF (Q5)'!$Y$23</definedName>
    <definedName name="expReturn" localSheetId="6">'Indices (10 years)'!$X$23</definedName>
    <definedName name="expReturn" localSheetId="7">'Indices (20 years)'!$X$23</definedName>
    <definedName name="expReturn" localSheetId="8">'Indices (30 years)'!$X$23</definedName>
    <definedName name="expReturn" localSheetId="5">'Indices (5 years)'!$X$23</definedName>
    <definedName name="expReturn">'Unconstrained EF (Q4)'!$Y$23</definedName>
    <definedName name="expRisk" localSheetId="2">'Constrained EF (Q5)'!$X$23</definedName>
    <definedName name="expRisk" localSheetId="6">'Indices (10 years)'!$W$23</definedName>
    <definedName name="expRisk" localSheetId="7">'Indices (20 years)'!$W$23</definedName>
    <definedName name="expRisk" localSheetId="8">'Indices (30 years)'!$W$23</definedName>
    <definedName name="expRisk" localSheetId="5">'Indices (5 years)'!$W$23</definedName>
    <definedName name="expRisk">'Unconstrained EF (Q4)'!$X$23</definedName>
    <definedName name="maxPortRet" localSheetId="6">'Indices (10 years)'!$R$14</definedName>
    <definedName name="maxPortRet" localSheetId="7">'Indices (20 years)'!$R$14</definedName>
    <definedName name="maxPortRet" localSheetId="8">'Indices (30 years)'!$R$14</definedName>
    <definedName name="maxPortRet" localSheetId="5">'Indices (5 years)'!$R$14</definedName>
    <definedName name="maxPortRet">'Constrained EF (Q5)'!$R$14</definedName>
    <definedName name="maxRet" localSheetId="2">'Constrained EF (Q5)'!$O$22</definedName>
    <definedName name="maxRet" localSheetId="6">'Indices (10 years)'!$O$20</definedName>
    <definedName name="maxRet" localSheetId="7">'Indices (20 years)'!$O$20</definedName>
    <definedName name="maxRet" localSheetId="8">'Indices (30 years)'!$O$20</definedName>
    <definedName name="maxRet" localSheetId="5">'Indices (5 years)'!$O$20</definedName>
    <definedName name="maxRet">'Unconstrained EF (Q4)'!$O$22</definedName>
    <definedName name="minPortRet" localSheetId="6">'Indices (10 years)'!$R$15</definedName>
    <definedName name="minPortRet" localSheetId="7">'Indices (20 years)'!$R$15</definedName>
    <definedName name="minPortRet" localSheetId="8">'Indices (30 years)'!$R$15</definedName>
    <definedName name="minPortRet" localSheetId="5">'Indices (5 years)'!$R$15</definedName>
    <definedName name="minPortRet">'Constrained EF (Q5)'!$R$15</definedName>
    <definedName name="minRet" localSheetId="2">'Constrained EF (Q5)'!$O$23</definedName>
    <definedName name="minRet" localSheetId="6">'Indices (10 years)'!$O$21</definedName>
    <definedName name="minRet" localSheetId="7">'Indices (20 years)'!$O$21</definedName>
    <definedName name="minRet" localSheetId="8">'Indices (30 years)'!$O$21</definedName>
    <definedName name="minRet" localSheetId="5">'Indices (5 years)'!$O$21</definedName>
    <definedName name="minRet">'Unconstrained EF (Q4)'!$O$23</definedName>
    <definedName name="numOfPoints" localSheetId="2">'Constrained EF (Q5)'!$S$36</definedName>
    <definedName name="numOfPoints" localSheetId="6">'Indices (10 years)'!$S$36</definedName>
    <definedName name="numOfPoints" localSheetId="7">'Indices (20 years)'!$S$36</definedName>
    <definedName name="numOfPoints" localSheetId="8">'Indices (30 years)'!$S$36</definedName>
    <definedName name="numOfPoints" localSheetId="5">'Indices (5 years)'!$S$36</definedName>
    <definedName name="numOfPoints">'Unconstrained EF (Q4)'!$S$36</definedName>
    <definedName name="rets" localSheetId="2">'Constrained EF (Q5)'!$N$14:$N$18</definedName>
    <definedName name="rets" localSheetId="6">'Indices (10 years)'!$N$14:$N$17</definedName>
    <definedName name="rets" localSheetId="7">'Indices (20 years)'!$N$14:$N$17</definedName>
    <definedName name="rets" localSheetId="8">'Indices (30 years)'!$N$14:$N$17</definedName>
    <definedName name="rets" localSheetId="5">'Indices (5 years)'!$N$14:$N$17</definedName>
    <definedName name="rets">'Unconstrained EF (Q4)'!$N$14:$N$18</definedName>
    <definedName name="solver_adj" localSheetId="2" hidden="1">'Constrained EF (Q5)'!$Q$23:$T$23</definedName>
    <definedName name="solver_adj" localSheetId="6" hidden="1">'Indices (10 years)'!$Q$23:$S$23</definedName>
    <definedName name="solver_adj" localSheetId="7" hidden="1">'Indices (20 years)'!$Q$23:$S$23</definedName>
    <definedName name="solver_adj" localSheetId="8" hidden="1">'Indices (30 years)'!$Q$23:$S$23</definedName>
    <definedName name="solver_adj" localSheetId="5" hidden="1">'Indices (5 years)'!$Q$23:$S$23</definedName>
    <definedName name="solver_adj" localSheetId="1" hidden="1">'Unconstrained EF (Q4)'!$Q$23:$T$23</definedName>
    <definedName name="solver_cvg" localSheetId="2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5" hidden="1">0.0001</definedName>
    <definedName name="solver_cvg" localSheetId="1" hidden="1">0.0001</definedName>
    <definedName name="solver_drv" localSheetId="2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5" hidden="1">1</definedName>
    <definedName name="solver_drv" localSheetId="1" hidden="1">1</definedName>
    <definedName name="solver_eng" localSheetId="2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eng" localSheetId="5" hidden="1">1</definedName>
    <definedName name="solver_eng" localSheetId="1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5" hidden="1">1</definedName>
    <definedName name="solver_itr" localSheetId="2" hidden="1">2147483647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5" hidden="1">100</definedName>
    <definedName name="solver_itr" localSheetId="1" hidden="1">2147483647</definedName>
    <definedName name="solver_lhs1" localSheetId="2" hidden="1">'Constrained EF (Q5)'!$Y$23</definedName>
    <definedName name="solver_lhs1" localSheetId="6" hidden="1">'Indices (10 years)'!$X$23</definedName>
    <definedName name="solver_lhs1" localSheetId="7" hidden="1">'Indices (20 years)'!$X$23</definedName>
    <definedName name="solver_lhs1" localSheetId="8" hidden="1">'Indices (30 years)'!$X$23</definedName>
    <definedName name="solver_lhs1" localSheetId="5" hidden="1">'Indices (5 years)'!$X$23</definedName>
    <definedName name="solver_lhs1" localSheetId="1" hidden="1">'Unconstrained EF (Q4)'!$Y$23</definedName>
    <definedName name="solver_lhs2" localSheetId="2" hidden="1">'Constrained EF (Q5)'!$Q$23:$U$23</definedName>
    <definedName name="solver_lhs2" localSheetId="6" hidden="1">'Indices (10 years)'!$Q$23:$T$23</definedName>
    <definedName name="solver_lhs2" localSheetId="7" hidden="1">'Indices (20 years)'!$Q$23:$T$23</definedName>
    <definedName name="solver_lhs2" localSheetId="8" hidden="1">'Indices (30 years)'!$Q$23:$T$23</definedName>
    <definedName name="solver_lhs2" localSheetId="5" hidden="1">'Indices (5 years)'!$Q$23:$T$23</definedName>
    <definedName name="solver_lhs2" localSheetId="1" hidden="1">'Unconstrained EF (Q4)'!$Q$23</definedName>
    <definedName name="solver_lhs3" localSheetId="2" hidden="1">'Constrained EF (Q5)'!$Q$23:$U$23</definedName>
    <definedName name="solver_lhs3" localSheetId="6" hidden="1">'Indices (10 years)'!$Q$23:$T$23</definedName>
    <definedName name="solver_lhs3" localSheetId="7" hidden="1">'Indices (20 years)'!$Q$23:$T$23</definedName>
    <definedName name="solver_lhs3" localSheetId="8" hidden="1">'Indices (30 years)'!$Q$23:$T$23</definedName>
    <definedName name="solver_lhs3" localSheetId="5" hidden="1">'Indices (5 years)'!$Q$23:$T$23</definedName>
    <definedName name="solver_lhs3" localSheetId="1" hidden="1">'Unconstrained EF (Q4)'!$R$23</definedName>
    <definedName name="solver_lhs4" localSheetId="1" hidden="1">'Unconstrained EF (Q4)'!$R$23</definedName>
    <definedName name="solver_lhs5" localSheetId="1" hidden="1">'Unconstrained EF (Q4)'!$Y$23</definedName>
    <definedName name="solver_lin" localSheetId="2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lin" localSheetId="5" hidden="1">2</definedName>
    <definedName name="solver_lin" localSheetId="1" hidden="1">2</definedName>
    <definedName name="solver_mip" localSheetId="2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5" hidden="1">2147483647</definedName>
    <definedName name="solver_mip" localSheetId="1" hidden="1">2147483647</definedName>
    <definedName name="solver_mni" localSheetId="2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5" hidden="1">30</definedName>
    <definedName name="solver_mni" localSheetId="1" hidden="1">30</definedName>
    <definedName name="solver_mrt" localSheetId="2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5" hidden="1">0.075</definedName>
    <definedName name="solver_mrt" localSheetId="1" hidden="1">0.075</definedName>
    <definedName name="solver_msl" localSheetId="2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5" hidden="1">2</definedName>
    <definedName name="solver_msl" localSheetId="1" hidden="1">2</definedName>
    <definedName name="solver_neg" localSheetId="2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eg" localSheetId="5" hidden="1">2</definedName>
    <definedName name="solver_neg" localSheetId="1" hidden="1">2</definedName>
    <definedName name="solver_nod" localSheetId="2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5" hidden="1">2147483647</definedName>
    <definedName name="solver_nod" localSheetId="1" hidden="1">2147483647</definedName>
    <definedName name="solver_num" localSheetId="2" hidden="1">3</definedName>
    <definedName name="solver_num" localSheetId="6" hidden="1">3</definedName>
    <definedName name="solver_num" localSheetId="7" hidden="1">3</definedName>
    <definedName name="solver_num" localSheetId="8" hidden="1">3</definedName>
    <definedName name="solver_num" localSheetId="5" hidden="1">3</definedName>
    <definedName name="solver_num" localSheetId="1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5" hidden="1">1</definedName>
    <definedName name="solver_opt" localSheetId="2" hidden="1">'Constrained EF (Q5)'!$X$23</definedName>
    <definedName name="solver_opt" localSheetId="6" hidden="1">'Indices (10 years)'!$W$23</definedName>
    <definedName name="solver_opt" localSheetId="7" hidden="1">'Indices (20 years)'!$W$23</definedName>
    <definedName name="solver_opt" localSheetId="8" hidden="1">'Indices (30 years)'!$W$23</definedName>
    <definedName name="solver_opt" localSheetId="5" hidden="1">'Indices (5 years)'!$W$23</definedName>
    <definedName name="solver_opt" localSheetId="1" hidden="1">'Unconstrained EF (Q4)'!$X$23</definedName>
    <definedName name="solver_pre" localSheetId="2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5" hidden="1">0.000001</definedName>
    <definedName name="solver_pre" localSheetId="1" hidden="1">0.000001</definedName>
    <definedName name="solver_rbv" localSheetId="2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bv" localSheetId="5" hidden="1">1</definedName>
    <definedName name="solver_rbv" localSheetId="1" hidden="1">1</definedName>
    <definedName name="solver_rel1" localSheetId="2" hidden="1">2</definedName>
    <definedName name="solver_rel1" localSheetId="6" hidden="1">2</definedName>
    <definedName name="solver_rel1" localSheetId="7" hidden="1">2</definedName>
    <definedName name="solver_rel1" localSheetId="8" hidden="1">2</definedName>
    <definedName name="solver_rel1" localSheetId="5" hidden="1">2</definedName>
    <definedName name="solver_rel1" localSheetId="1" hidden="1">2</definedName>
    <definedName name="solver_rel2" localSheetId="2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5" hidden="1">1</definedName>
    <definedName name="solver_rel2" localSheetId="1" hidden="1">3</definedName>
    <definedName name="solver_rel3" localSheetId="2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5" hidden="1">3</definedName>
    <definedName name="solver_rel3" localSheetId="1" hidden="1">1</definedName>
    <definedName name="solver_rel4" localSheetId="1" hidden="1">3</definedName>
    <definedName name="solver_rel5" localSheetId="1" hidden="1">2</definedName>
    <definedName name="solver_rhs1" localSheetId="2" hidden="1">0.00377701302209919</definedName>
    <definedName name="solver_rhs1" localSheetId="6" hidden="1">0.00796442130353581</definedName>
    <definedName name="solver_rhs1" localSheetId="7" hidden="1">0.00721220650703216</definedName>
    <definedName name="solver_rhs1" localSheetId="8" hidden="1">0.00909194071498741</definedName>
    <definedName name="solver_rhs1" localSheetId="5" hidden="1">0.0116516827018497</definedName>
    <definedName name="solver_rhs1" localSheetId="1" hidden="1">0.00418800128149115</definedName>
    <definedName name="solver_rhs2" localSheetId="2" hidden="1">0.5</definedName>
    <definedName name="solver_rhs2" localSheetId="6" hidden="1">0.5</definedName>
    <definedName name="solver_rhs2" localSheetId="7" hidden="1">0.5</definedName>
    <definedName name="solver_rhs2" localSheetId="8" hidden="1">0.5</definedName>
    <definedName name="solver_rhs2" localSheetId="5" hidden="1">0.5</definedName>
    <definedName name="solver_rhs2" localSheetId="1" hidden="1">0.05</definedName>
    <definedName name="solver_rhs3" localSheetId="2" hidden="1">0.05</definedName>
    <definedName name="solver_rhs3" localSheetId="6" hidden="1">0.05</definedName>
    <definedName name="solver_rhs3" localSheetId="7" hidden="1">0.05</definedName>
    <definedName name="solver_rhs3" localSheetId="8" hidden="1">0.05</definedName>
    <definedName name="solver_rhs3" localSheetId="5" hidden="1">0.05</definedName>
    <definedName name="solver_rhs3" localSheetId="1" hidden="1">0.5</definedName>
    <definedName name="solver_rhs4" localSheetId="1" hidden="1">0.05</definedName>
    <definedName name="solver_rhs5" localSheetId="1" hidden="1">0.00418800128149115</definedName>
    <definedName name="solver_rlx" localSheetId="2" hidden="1">1</definedName>
    <definedName name="solver_rlx" localSheetId="6" hidden="1">1</definedName>
    <definedName name="solver_rlx" localSheetId="7" hidden="1">1</definedName>
    <definedName name="solver_rlx" localSheetId="8" hidden="1">1</definedName>
    <definedName name="solver_rlx" localSheetId="5" hidden="1">1</definedName>
    <definedName name="solver_rlx" localSheetId="1" hidden="1">1</definedName>
    <definedName name="solver_rsd" localSheetId="2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5" hidden="1">0</definedName>
    <definedName name="solver_rsd" localSheetId="1" hidden="1">0</definedName>
    <definedName name="solver_scl" localSheetId="2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5" hidden="1">2</definedName>
    <definedName name="solver_scl" localSheetId="1" hidden="1">2</definedName>
    <definedName name="solver_sho" localSheetId="2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5" hidden="1">2</definedName>
    <definedName name="solver_sho" localSheetId="1" hidden="1">2</definedName>
    <definedName name="solver_ssz" localSheetId="2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5" hidden="1">100</definedName>
    <definedName name="solver_ssz" localSheetId="1" hidden="1">100</definedName>
    <definedName name="solver_tim" localSheetId="2" hidden="1">2147483647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5" hidden="1">100</definedName>
    <definedName name="solver_tim" localSheetId="1" hidden="1">2147483647</definedName>
    <definedName name="solver_tol" localSheetId="2" hidden="1">0.01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5" hidden="1">0.05</definedName>
    <definedName name="solver_tol" localSheetId="1" hidden="1">0.01</definedName>
    <definedName name="solver_typ" localSheetId="2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5" hidden="1">2</definedName>
    <definedName name="solver_typ" localSheetId="1" hidden="1">2</definedName>
    <definedName name="solver_val" localSheetId="2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5" hidden="1">0</definedName>
    <definedName name="solver_val" localSheetId="1" hidden="1">0</definedName>
    <definedName name="solver_ver" localSheetId="2" hidden="1">2</definedName>
    <definedName name="solver_ver" localSheetId="6" hidden="1">2</definedName>
    <definedName name="solver_ver" localSheetId="7" hidden="1">2</definedName>
    <definedName name="solver_ver" localSheetId="8" hidden="1">2</definedName>
    <definedName name="solver_ver" localSheetId="5" hidden="1">2</definedName>
    <definedName name="solver_ver" localSheetId="1" hidden="1">2</definedName>
    <definedName name="target1" localSheetId="2">'Constrained EF (Q5)'!$W$23</definedName>
    <definedName name="target1" localSheetId="6">'Indices (10 years)'!$V$23</definedName>
    <definedName name="target1" localSheetId="7">'Indices (20 years)'!$V$23</definedName>
    <definedName name="target1" localSheetId="8">'Indices (30 years)'!$V$23</definedName>
    <definedName name="target1" localSheetId="5">'Indices (5 years)'!$V$23</definedName>
    <definedName name="target1">'Unconstrained EF (Q4)'!$W$23</definedName>
    <definedName name="vcv" localSheetId="2">'Constrained EF (Q5)'!$N$4:$R$8</definedName>
    <definedName name="vcv" localSheetId="6">'Indices (10 years)'!$N$4:$Q$7</definedName>
    <definedName name="vcv" localSheetId="7">'Indices (20 years)'!$N$4:$Q$7</definedName>
    <definedName name="vcv" localSheetId="8">'Indices (30 years)'!$N$4:$Q$7</definedName>
    <definedName name="vcv" localSheetId="5">'Indices (5 years)'!$N$4:$Q$7</definedName>
    <definedName name="vcv">'Unconstrained EF (Q4)'!$N$4:$R$8</definedName>
    <definedName name="weights1" localSheetId="2">'Constrained EF (Q5)'!$Q$23:$U$23</definedName>
    <definedName name="weights1" localSheetId="6">'Indices (10 years)'!$Q$23:$T$23</definedName>
    <definedName name="weights1" localSheetId="7">'Indices (20 years)'!$Q$23:$T$23</definedName>
    <definedName name="weights1" localSheetId="8">'Indices (30 years)'!$Q$23:$T$23</definedName>
    <definedName name="weights1" localSheetId="5">'Indices (5 years)'!$Q$23:$T$23</definedName>
    <definedName name="weights1">'Unconstrained EF (Q4)'!$Q$23:$U$23</definedName>
  </definedNames>
  <calcPr calcId="171027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9" i="3" l="1"/>
  <c r="S30" i="1"/>
  <c r="S29" i="1"/>
  <c r="S28" i="1"/>
  <c r="D23" i="18"/>
  <c r="D22" i="18"/>
  <c r="D21" i="18"/>
  <c r="D20" i="18"/>
  <c r="O23" i="16"/>
  <c r="O22" i="16"/>
  <c r="O21" i="16"/>
  <c r="O20" i="16"/>
  <c r="O23" i="15"/>
  <c r="O22" i="15"/>
  <c r="O21" i="15"/>
  <c r="O20" i="15"/>
  <c r="O22" i="14"/>
  <c r="O23" i="14"/>
  <c r="O21" i="14"/>
  <c r="O20" i="14"/>
  <c r="O23" i="12"/>
  <c r="O22" i="12"/>
  <c r="O21" i="12"/>
  <c r="O20" i="12"/>
  <c r="O17" i="16"/>
  <c r="O16" i="16"/>
  <c r="O15" i="16"/>
  <c r="O14" i="16"/>
  <c r="N17" i="16"/>
  <c r="N16" i="16"/>
  <c r="N15" i="16"/>
  <c r="N14" i="16"/>
  <c r="Q7" i="16"/>
  <c r="Q6" i="16"/>
  <c r="Q5" i="16"/>
  <c r="Q4" i="16"/>
  <c r="P7" i="16"/>
  <c r="P6" i="16"/>
  <c r="P5" i="16"/>
  <c r="P4" i="16"/>
  <c r="O7" i="16"/>
  <c r="O6" i="16"/>
  <c r="O5" i="16"/>
  <c r="O4" i="16"/>
  <c r="N7" i="16"/>
  <c r="N6" i="16"/>
  <c r="N5" i="16"/>
  <c r="N4" i="16"/>
  <c r="I362" i="16"/>
  <c r="G362" i="16"/>
  <c r="E362" i="16"/>
  <c r="C362" i="16"/>
  <c r="I361" i="16"/>
  <c r="G361" i="16"/>
  <c r="E361" i="16"/>
  <c r="C361" i="16"/>
  <c r="I360" i="16"/>
  <c r="G360" i="16"/>
  <c r="E360" i="16"/>
  <c r="C360" i="16"/>
  <c r="I359" i="16"/>
  <c r="G359" i="16"/>
  <c r="E359" i="16"/>
  <c r="C359" i="16"/>
  <c r="I358" i="16"/>
  <c r="G358" i="16"/>
  <c r="E358" i="16"/>
  <c r="C358" i="16"/>
  <c r="I357" i="16"/>
  <c r="G357" i="16"/>
  <c r="E357" i="16"/>
  <c r="C357" i="16"/>
  <c r="I356" i="16"/>
  <c r="G356" i="16"/>
  <c r="E356" i="16"/>
  <c r="C356" i="16"/>
  <c r="I355" i="16"/>
  <c r="G355" i="16"/>
  <c r="E355" i="16"/>
  <c r="C355" i="16"/>
  <c r="I354" i="16"/>
  <c r="G354" i="16"/>
  <c r="E354" i="16"/>
  <c r="C354" i="16"/>
  <c r="I353" i="16"/>
  <c r="G353" i="16"/>
  <c r="E353" i="16"/>
  <c r="C353" i="16"/>
  <c r="I352" i="16"/>
  <c r="G352" i="16"/>
  <c r="E352" i="16"/>
  <c r="C352" i="16"/>
  <c r="I351" i="16"/>
  <c r="G351" i="16"/>
  <c r="E351" i="16"/>
  <c r="C351" i="16"/>
  <c r="I350" i="16"/>
  <c r="G350" i="16"/>
  <c r="E350" i="16"/>
  <c r="C350" i="16"/>
  <c r="I349" i="16"/>
  <c r="G349" i="16"/>
  <c r="E349" i="16"/>
  <c r="C349" i="16"/>
  <c r="I348" i="16"/>
  <c r="G348" i="16"/>
  <c r="E348" i="16"/>
  <c r="C348" i="16"/>
  <c r="I347" i="16"/>
  <c r="G347" i="16"/>
  <c r="E347" i="16"/>
  <c r="C347" i="16"/>
  <c r="I346" i="16"/>
  <c r="G346" i="16"/>
  <c r="E346" i="16"/>
  <c r="C346" i="16"/>
  <c r="I345" i="16"/>
  <c r="G345" i="16"/>
  <c r="E345" i="16"/>
  <c r="C345" i="16"/>
  <c r="I344" i="16"/>
  <c r="G344" i="16"/>
  <c r="E344" i="16"/>
  <c r="C344" i="16"/>
  <c r="I343" i="16"/>
  <c r="G343" i="16"/>
  <c r="E343" i="16"/>
  <c r="C343" i="16"/>
  <c r="I342" i="16"/>
  <c r="G342" i="16"/>
  <c r="E342" i="16"/>
  <c r="C342" i="16"/>
  <c r="I341" i="16"/>
  <c r="G341" i="16"/>
  <c r="E341" i="16"/>
  <c r="C341" i="16"/>
  <c r="I340" i="16"/>
  <c r="G340" i="16"/>
  <c r="E340" i="16"/>
  <c r="C340" i="16"/>
  <c r="I339" i="16"/>
  <c r="G339" i="16"/>
  <c r="E339" i="16"/>
  <c r="C339" i="16"/>
  <c r="I338" i="16"/>
  <c r="G338" i="16"/>
  <c r="E338" i="16"/>
  <c r="C338" i="16"/>
  <c r="I337" i="16"/>
  <c r="G337" i="16"/>
  <c r="E337" i="16"/>
  <c r="C337" i="16"/>
  <c r="I336" i="16"/>
  <c r="G336" i="16"/>
  <c r="E336" i="16"/>
  <c r="C336" i="16"/>
  <c r="I335" i="16"/>
  <c r="G335" i="16"/>
  <c r="E335" i="16"/>
  <c r="C335" i="16"/>
  <c r="I334" i="16"/>
  <c r="G334" i="16"/>
  <c r="E334" i="16"/>
  <c r="C334" i="16"/>
  <c r="I333" i="16"/>
  <c r="G333" i="16"/>
  <c r="E333" i="16"/>
  <c r="C333" i="16"/>
  <c r="I332" i="16"/>
  <c r="G332" i="16"/>
  <c r="E332" i="16"/>
  <c r="C332" i="16"/>
  <c r="I331" i="16"/>
  <c r="G331" i="16"/>
  <c r="E331" i="16"/>
  <c r="C331" i="16"/>
  <c r="I330" i="16"/>
  <c r="G330" i="16"/>
  <c r="E330" i="16"/>
  <c r="C330" i="16"/>
  <c r="I329" i="16"/>
  <c r="G329" i="16"/>
  <c r="E329" i="16"/>
  <c r="C329" i="16"/>
  <c r="I328" i="16"/>
  <c r="G328" i="16"/>
  <c r="E328" i="16"/>
  <c r="C328" i="16"/>
  <c r="I327" i="16"/>
  <c r="G327" i="16"/>
  <c r="E327" i="16"/>
  <c r="C327" i="16"/>
  <c r="I326" i="16"/>
  <c r="G326" i="16"/>
  <c r="E326" i="16"/>
  <c r="C326" i="16"/>
  <c r="I325" i="16"/>
  <c r="G325" i="16"/>
  <c r="E325" i="16"/>
  <c r="C325" i="16"/>
  <c r="I324" i="16"/>
  <c r="G324" i="16"/>
  <c r="E324" i="16"/>
  <c r="C324" i="16"/>
  <c r="I323" i="16"/>
  <c r="G323" i="16"/>
  <c r="E323" i="16"/>
  <c r="C323" i="16"/>
  <c r="I322" i="16"/>
  <c r="G322" i="16"/>
  <c r="E322" i="16"/>
  <c r="C322" i="16"/>
  <c r="I321" i="16"/>
  <c r="G321" i="16"/>
  <c r="E321" i="16"/>
  <c r="C321" i="16"/>
  <c r="I320" i="16"/>
  <c r="G320" i="16"/>
  <c r="E320" i="16"/>
  <c r="C320" i="16"/>
  <c r="I319" i="16"/>
  <c r="G319" i="16"/>
  <c r="E319" i="16"/>
  <c r="C319" i="16"/>
  <c r="I318" i="16"/>
  <c r="G318" i="16"/>
  <c r="E318" i="16"/>
  <c r="C318" i="16"/>
  <c r="I317" i="16"/>
  <c r="G317" i="16"/>
  <c r="E317" i="16"/>
  <c r="C317" i="16"/>
  <c r="I316" i="16"/>
  <c r="G316" i="16"/>
  <c r="E316" i="16"/>
  <c r="C316" i="16"/>
  <c r="I315" i="16"/>
  <c r="G315" i="16"/>
  <c r="E315" i="16"/>
  <c r="C315" i="16"/>
  <c r="I314" i="16"/>
  <c r="G314" i="16"/>
  <c r="E314" i="16"/>
  <c r="C314" i="16"/>
  <c r="I313" i="16"/>
  <c r="G313" i="16"/>
  <c r="E313" i="16"/>
  <c r="C313" i="16"/>
  <c r="I312" i="16"/>
  <c r="G312" i="16"/>
  <c r="E312" i="16"/>
  <c r="C312" i="16"/>
  <c r="I311" i="16"/>
  <c r="G311" i="16"/>
  <c r="E311" i="16"/>
  <c r="C311" i="16"/>
  <c r="I310" i="16"/>
  <c r="G310" i="16"/>
  <c r="E310" i="16"/>
  <c r="C310" i="16"/>
  <c r="I309" i="16"/>
  <c r="G309" i="16"/>
  <c r="E309" i="16"/>
  <c r="C309" i="16"/>
  <c r="I308" i="16"/>
  <c r="G308" i="16"/>
  <c r="E308" i="16"/>
  <c r="C308" i="16"/>
  <c r="I307" i="16"/>
  <c r="G307" i="16"/>
  <c r="E307" i="16"/>
  <c r="C307" i="16"/>
  <c r="I306" i="16"/>
  <c r="G306" i="16"/>
  <c r="E306" i="16"/>
  <c r="C306" i="16"/>
  <c r="I305" i="16"/>
  <c r="G305" i="16"/>
  <c r="E305" i="16"/>
  <c r="C305" i="16"/>
  <c r="I304" i="16"/>
  <c r="G304" i="16"/>
  <c r="E304" i="16"/>
  <c r="C304" i="16"/>
  <c r="I303" i="16"/>
  <c r="G303" i="16"/>
  <c r="E303" i="16"/>
  <c r="C303" i="16"/>
  <c r="I302" i="16"/>
  <c r="G302" i="16"/>
  <c r="E302" i="16"/>
  <c r="C302" i="16"/>
  <c r="I301" i="16"/>
  <c r="G301" i="16"/>
  <c r="E301" i="16"/>
  <c r="C301" i="16"/>
  <c r="I300" i="16"/>
  <c r="G300" i="16"/>
  <c r="E300" i="16"/>
  <c r="C300" i="16"/>
  <c r="I299" i="16"/>
  <c r="G299" i="16"/>
  <c r="E299" i="16"/>
  <c r="C299" i="16"/>
  <c r="I298" i="16"/>
  <c r="G298" i="16"/>
  <c r="E298" i="16"/>
  <c r="C298" i="16"/>
  <c r="I297" i="16"/>
  <c r="G297" i="16"/>
  <c r="E297" i="16"/>
  <c r="C297" i="16"/>
  <c r="I296" i="16"/>
  <c r="G296" i="16"/>
  <c r="E296" i="16"/>
  <c r="C296" i="16"/>
  <c r="I295" i="16"/>
  <c r="G295" i="16"/>
  <c r="E295" i="16"/>
  <c r="C295" i="16"/>
  <c r="I294" i="16"/>
  <c r="G294" i="16"/>
  <c r="E294" i="16"/>
  <c r="C294" i="16"/>
  <c r="I293" i="16"/>
  <c r="G293" i="16"/>
  <c r="E293" i="16"/>
  <c r="C293" i="16"/>
  <c r="I292" i="16"/>
  <c r="G292" i="16"/>
  <c r="E292" i="16"/>
  <c r="C292" i="16"/>
  <c r="I291" i="16"/>
  <c r="G291" i="16"/>
  <c r="E291" i="16"/>
  <c r="C291" i="16"/>
  <c r="I290" i="16"/>
  <c r="G290" i="16"/>
  <c r="E290" i="16"/>
  <c r="C290" i="16"/>
  <c r="I289" i="16"/>
  <c r="G289" i="16"/>
  <c r="E289" i="16"/>
  <c r="C289" i="16"/>
  <c r="I288" i="16"/>
  <c r="G288" i="16"/>
  <c r="E288" i="16"/>
  <c r="C288" i="16"/>
  <c r="I287" i="16"/>
  <c r="G287" i="16"/>
  <c r="E287" i="16"/>
  <c r="C287" i="16"/>
  <c r="I286" i="16"/>
  <c r="G286" i="16"/>
  <c r="E286" i="16"/>
  <c r="C286" i="16"/>
  <c r="I285" i="16"/>
  <c r="G285" i="16"/>
  <c r="E285" i="16"/>
  <c r="C285" i="16"/>
  <c r="I284" i="16"/>
  <c r="G284" i="16"/>
  <c r="E284" i="16"/>
  <c r="C284" i="16"/>
  <c r="I283" i="16"/>
  <c r="G283" i="16"/>
  <c r="E283" i="16"/>
  <c r="C283" i="16"/>
  <c r="I282" i="16"/>
  <c r="G282" i="16"/>
  <c r="E282" i="16"/>
  <c r="C282" i="16"/>
  <c r="I281" i="16"/>
  <c r="G281" i="16"/>
  <c r="E281" i="16"/>
  <c r="C281" i="16"/>
  <c r="I280" i="16"/>
  <c r="G280" i="16"/>
  <c r="E280" i="16"/>
  <c r="C280" i="16"/>
  <c r="I279" i="16"/>
  <c r="G279" i="16"/>
  <c r="E279" i="16"/>
  <c r="C279" i="16"/>
  <c r="I278" i="16"/>
  <c r="G278" i="16"/>
  <c r="E278" i="16"/>
  <c r="C278" i="16"/>
  <c r="I277" i="16"/>
  <c r="G277" i="16"/>
  <c r="E277" i="16"/>
  <c r="C277" i="16"/>
  <c r="I276" i="16"/>
  <c r="G276" i="16"/>
  <c r="E276" i="16"/>
  <c r="C276" i="16"/>
  <c r="I275" i="16"/>
  <c r="G275" i="16"/>
  <c r="E275" i="16"/>
  <c r="C275" i="16"/>
  <c r="I274" i="16"/>
  <c r="G274" i="16"/>
  <c r="E274" i="16"/>
  <c r="C274" i="16"/>
  <c r="I273" i="16"/>
  <c r="G273" i="16"/>
  <c r="E273" i="16"/>
  <c r="C273" i="16"/>
  <c r="I272" i="16"/>
  <c r="G272" i="16"/>
  <c r="E272" i="16"/>
  <c r="C272" i="16"/>
  <c r="I271" i="16"/>
  <c r="G271" i="16"/>
  <c r="E271" i="16"/>
  <c r="C271" i="16"/>
  <c r="I270" i="16"/>
  <c r="G270" i="16"/>
  <c r="E270" i="16"/>
  <c r="C270" i="16"/>
  <c r="I269" i="16"/>
  <c r="G269" i="16"/>
  <c r="E269" i="16"/>
  <c r="C269" i="16"/>
  <c r="I268" i="16"/>
  <c r="G268" i="16"/>
  <c r="E268" i="16"/>
  <c r="C268" i="16"/>
  <c r="I267" i="16"/>
  <c r="G267" i="16"/>
  <c r="E267" i="16"/>
  <c r="C267" i="16"/>
  <c r="I266" i="16"/>
  <c r="G266" i="16"/>
  <c r="E266" i="16"/>
  <c r="C266" i="16"/>
  <c r="I265" i="16"/>
  <c r="G265" i="16"/>
  <c r="E265" i="16"/>
  <c r="C265" i="16"/>
  <c r="I264" i="16"/>
  <c r="G264" i="16"/>
  <c r="E264" i="16"/>
  <c r="C264" i="16"/>
  <c r="I263" i="16"/>
  <c r="G263" i="16"/>
  <c r="E263" i="16"/>
  <c r="C263" i="16"/>
  <c r="I262" i="16"/>
  <c r="G262" i="16"/>
  <c r="E262" i="16"/>
  <c r="C262" i="16"/>
  <c r="I261" i="16"/>
  <c r="G261" i="16"/>
  <c r="E261" i="16"/>
  <c r="C261" i="16"/>
  <c r="I260" i="16"/>
  <c r="G260" i="16"/>
  <c r="E260" i="16"/>
  <c r="C260" i="16"/>
  <c r="I259" i="16"/>
  <c r="G259" i="16"/>
  <c r="E259" i="16"/>
  <c r="C259" i="16"/>
  <c r="I258" i="16"/>
  <c r="G258" i="16"/>
  <c r="E258" i="16"/>
  <c r="C258" i="16"/>
  <c r="I257" i="16"/>
  <c r="G257" i="16"/>
  <c r="E257" i="16"/>
  <c r="C257" i="16"/>
  <c r="I256" i="16"/>
  <c r="G256" i="16"/>
  <c r="E256" i="16"/>
  <c r="C256" i="16"/>
  <c r="I255" i="16"/>
  <c r="G255" i="16"/>
  <c r="E255" i="16"/>
  <c r="C255" i="16"/>
  <c r="I254" i="16"/>
  <c r="G254" i="16"/>
  <c r="E254" i="16"/>
  <c r="C254" i="16"/>
  <c r="I253" i="16"/>
  <c r="G253" i="16"/>
  <c r="E253" i="16"/>
  <c r="C253" i="16"/>
  <c r="I252" i="16"/>
  <c r="G252" i="16"/>
  <c r="E252" i="16"/>
  <c r="C252" i="16"/>
  <c r="I251" i="16"/>
  <c r="G251" i="16"/>
  <c r="E251" i="16"/>
  <c r="C251" i="16"/>
  <c r="I250" i="16"/>
  <c r="G250" i="16"/>
  <c r="E250" i="16"/>
  <c r="C250" i="16"/>
  <c r="I249" i="16"/>
  <c r="G249" i="16"/>
  <c r="E249" i="16"/>
  <c r="C249" i="16"/>
  <c r="I248" i="16"/>
  <c r="G248" i="16"/>
  <c r="E248" i="16"/>
  <c r="C248" i="16"/>
  <c r="I247" i="16"/>
  <c r="G247" i="16"/>
  <c r="E247" i="16"/>
  <c r="C247" i="16"/>
  <c r="I246" i="16"/>
  <c r="G246" i="16"/>
  <c r="E246" i="16"/>
  <c r="C246" i="16"/>
  <c r="I245" i="16"/>
  <c r="G245" i="16"/>
  <c r="E245" i="16"/>
  <c r="C245" i="16"/>
  <c r="I244" i="16"/>
  <c r="G244" i="16"/>
  <c r="E244" i="16"/>
  <c r="C244" i="16"/>
  <c r="I243" i="16"/>
  <c r="G243" i="16"/>
  <c r="E243" i="16"/>
  <c r="C243" i="16"/>
  <c r="I242" i="16"/>
  <c r="G242" i="16"/>
  <c r="E242" i="16"/>
  <c r="C242" i="16"/>
  <c r="I241" i="16"/>
  <c r="G241" i="16"/>
  <c r="E241" i="16"/>
  <c r="C241" i="16"/>
  <c r="I240" i="16"/>
  <c r="G240" i="16"/>
  <c r="E240" i="16"/>
  <c r="C240" i="16"/>
  <c r="I239" i="16"/>
  <c r="G239" i="16"/>
  <c r="E239" i="16"/>
  <c r="C239" i="16"/>
  <c r="I238" i="16"/>
  <c r="G238" i="16"/>
  <c r="E238" i="16"/>
  <c r="C238" i="16"/>
  <c r="I237" i="16"/>
  <c r="G237" i="16"/>
  <c r="E237" i="16"/>
  <c r="C237" i="16"/>
  <c r="I236" i="16"/>
  <c r="G236" i="16"/>
  <c r="E236" i="16"/>
  <c r="C236" i="16"/>
  <c r="I235" i="16"/>
  <c r="G235" i="16"/>
  <c r="E235" i="16"/>
  <c r="C235" i="16"/>
  <c r="I234" i="16"/>
  <c r="G234" i="16"/>
  <c r="E234" i="16"/>
  <c r="C234" i="16"/>
  <c r="I233" i="16"/>
  <c r="G233" i="16"/>
  <c r="E233" i="16"/>
  <c r="C233" i="16"/>
  <c r="I232" i="16"/>
  <c r="G232" i="16"/>
  <c r="E232" i="16"/>
  <c r="C232" i="16"/>
  <c r="I231" i="16"/>
  <c r="G231" i="16"/>
  <c r="E231" i="16"/>
  <c r="C231" i="16"/>
  <c r="I230" i="16"/>
  <c r="G230" i="16"/>
  <c r="E230" i="16"/>
  <c r="C230" i="16"/>
  <c r="I229" i="16"/>
  <c r="G229" i="16"/>
  <c r="E229" i="16"/>
  <c r="C229" i="16"/>
  <c r="I228" i="16"/>
  <c r="G228" i="16"/>
  <c r="E228" i="16"/>
  <c r="C228" i="16"/>
  <c r="I227" i="16"/>
  <c r="G227" i="16"/>
  <c r="E227" i="16"/>
  <c r="C227" i="16"/>
  <c r="I226" i="16"/>
  <c r="G226" i="16"/>
  <c r="E226" i="16"/>
  <c r="C226" i="16"/>
  <c r="I225" i="16"/>
  <c r="G225" i="16"/>
  <c r="E225" i="16"/>
  <c r="C225" i="16"/>
  <c r="I224" i="16"/>
  <c r="G224" i="16"/>
  <c r="E224" i="16"/>
  <c r="C224" i="16"/>
  <c r="I223" i="16"/>
  <c r="G223" i="16"/>
  <c r="E223" i="16"/>
  <c r="C223" i="16"/>
  <c r="I222" i="16"/>
  <c r="G222" i="16"/>
  <c r="E222" i="16"/>
  <c r="C222" i="16"/>
  <c r="I221" i="16"/>
  <c r="G221" i="16"/>
  <c r="E221" i="16"/>
  <c r="C221" i="16"/>
  <c r="I220" i="16"/>
  <c r="G220" i="16"/>
  <c r="E220" i="16"/>
  <c r="C220" i="16"/>
  <c r="I219" i="16"/>
  <c r="G219" i="16"/>
  <c r="E219" i="16"/>
  <c r="C219" i="16"/>
  <c r="I218" i="16"/>
  <c r="G218" i="16"/>
  <c r="E218" i="16"/>
  <c r="C218" i="16"/>
  <c r="I217" i="16"/>
  <c r="G217" i="16"/>
  <c r="E217" i="16"/>
  <c r="C217" i="16"/>
  <c r="I216" i="16"/>
  <c r="G216" i="16"/>
  <c r="E216" i="16"/>
  <c r="C216" i="16"/>
  <c r="I215" i="16"/>
  <c r="G215" i="16"/>
  <c r="E215" i="16"/>
  <c r="C215" i="16"/>
  <c r="I214" i="16"/>
  <c r="G214" i="16"/>
  <c r="E214" i="16"/>
  <c r="C214" i="16"/>
  <c r="I213" i="16"/>
  <c r="G213" i="16"/>
  <c r="E213" i="16"/>
  <c r="C213" i="16"/>
  <c r="I212" i="16"/>
  <c r="G212" i="16"/>
  <c r="E212" i="16"/>
  <c r="C212" i="16"/>
  <c r="I211" i="16"/>
  <c r="G211" i="16"/>
  <c r="E211" i="16"/>
  <c r="C211" i="16"/>
  <c r="I210" i="16"/>
  <c r="G210" i="16"/>
  <c r="E210" i="16"/>
  <c r="C210" i="16"/>
  <c r="I209" i="16"/>
  <c r="G209" i="16"/>
  <c r="E209" i="16"/>
  <c r="C209" i="16"/>
  <c r="I208" i="16"/>
  <c r="G208" i="16"/>
  <c r="E208" i="16"/>
  <c r="C208" i="16"/>
  <c r="I207" i="16"/>
  <c r="G207" i="16"/>
  <c r="E207" i="16"/>
  <c r="C207" i="16"/>
  <c r="I206" i="16"/>
  <c r="G206" i="16"/>
  <c r="E206" i="16"/>
  <c r="C206" i="16"/>
  <c r="I205" i="16"/>
  <c r="G205" i="16"/>
  <c r="E205" i="16"/>
  <c r="C205" i="16"/>
  <c r="I204" i="16"/>
  <c r="G204" i="16"/>
  <c r="E204" i="16"/>
  <c r="C204" i="16"/>
  <c r="I203" i="16"/>
  <c r="G203" i="16"/>
  <c r="E203" i="16"/>
  <c r="C203" i="16"/>
  <c r="I202" i="16"/>
  <c r="G202" i="16"/>
  <c r="E202" i="16"/>
  <c r="C202" i="16"/>
  <c r="I201" i="16"/>
  <c r="G201" i="16"/>
  <c r="E201" i="16"/>
  <c r="C201" i="16"/>
  <c r="I200" i="16"/>
  <c r="G200" i="16"/>
  <c r="E200" i="16"/>
  <c r="C200" i="16"/>
  <c r="I199" i="16"/>
  <c r="G199" i="16"/>
  <c r="E199" i="16"/>
  <c r="C199" i="16"/>
  <c r="I198" i="16"/>
  <c r="G198" i="16"/>
  <c r="E198" i="16"/>
  <c r="C198" i="16"/>
  <c r="I197" i="16"/>
  <c r="G197" i="16"/>
  <c r="E197" i="16"/>
  <c r="C197" i="16"/>
  <c r="I196" i="16"/>
  <c r="G196" i="16"/>
  <c r="E196" i="16"/>
  <c r="C196" i="16"/>
  <c r="I195" i="16"/>
  <c r="G195" i="16"/>
  <c r="E195" i="16"/>
  <c r="C195" i="16"/>
  <c r="I194" i="16"/>
  <c r="G194" i="16"/>
  <c r="E194" i="16"/>
  <c r="C194" i="16"/>
  <c r="I193" i="16"/>
  <c r="G193" i="16"/>
  <c r="E193" i="16"/>
  <c r="C193" i="16"/>
  <c r="I192" i="16"/>
  <c r="G192" i="16"/>
  <c r="E192" i="16"/>
  <c r="C192" i="16"/>
  <c r="I191" i="16"/>
  <c r="G191" i="16"/>
  <c r="E191" i="16"/>
  <c r="C191" i="16"/>
  <c r="I190" i="16"/>
  <c r="G190" i="16"/>
  <c r="E190" i="16"/>
  <c r="C190" i="16"/>
  <c r="I189" i="16"/>
  <c r="G189" i="16"/>
  <c r="E189" i="16"/>
  <c r="C189" i="16"/>
  <c r="I188" i="16"/>
  <c r="G188" i="16"/>
  <c r="E188" i="16"/>
  <c r="C188" i="16"/>
  <c r="I187" i="16"/>
  <c r="G187" i="16"/>
  <c r="E187" i="16"/>
  <c r="C187" i="16"/>
  <c r="I186" i="16"/>
  <c r="G186" i="16"/>
  <c r="E186" i="16"/>
  <c r="C186" i="16"/>
  <c r="I185" i="16"/>
  <c r="G185" i="16"/>
  <c r="E185" i="16"/>
  <c r="C185" i="16"/>
  <c r="I184" i="16"/>
  <c r="G184" i="16"/>
  <c r="E184" i="16"/>
  <c r="C184" i="16"/>
  <c r="I183" i="16"/>
  <c r="G183" i="16"/>
  <c r="E183" i="16"/>
  <c r="C183" i="16"/>
  <c r="I182" i="16"/>
  <c r="G182" i="16"/>
  <c r="E182" i="16"/>
  <c r="C182" i="16"/>
  <c r="I181" i="16"/>
  <c r="G181" i="16"/>
  <c r="E181" i="16"/>
  <c r="C181" i="16"/>
  <c r="I180" i="16"/>
  <c r="G180" i="16"/>
  <c r="E180" i="16"/>
  <c r="C180" i="16"/>
  <c r="I179" i="16"/>
  <c r="G179" i="16"/>
  <c r="E179" i="16"/>
  <c r="C179" i="16"/>
  <c r="I178" i="16"/>
  <c r="G178" i="16"/>
  <c r="E178" i="16"/>
  <c r="C178" i="16"/>
  <c r="I177" i="16"/>
  <c r="G177" i="16"/>
  <c r="E177" i="16"/>
  <c r="C177" i="16"/>
  <c r="I176" i="16"/>
  <c r="G176" i="16"/>
  <c r="E176" i="16"/>
  <c r="C176" i="16"/>
  <c r="I175" i="16"/>
  <c r="G175" i="16"/>
  <c r="E175" i="16"/>
  <c r="C175" i="16"/>
  <c r="I174" i="16"/>
  <c r="G174" i="16"/>
  <c r="E174" i="16"/>
  <c r="C174" i="16"/>
  <c r="I173" i="16"/>
  <c r="G173" i="16"/>
  <c r="E173" i="16"/>
  <c r="C173" i="16"/>
  <c r="I172" i="16"/>
  <c r="G172" i="16"/>
  <c r="E172" i="16"/>
  <c r="C172" i="16"/>
  <c r="I171" i="16"/>
  <c r="G171" i="16"/>
  <c r="E171" i="16"/>
  <c r="C171" i="16"/>
  <c r="I170" i="16"/>
  <c r="G170" i="16"/>
  <c r="E170" i="16"/>
  <c r="C170" i="16"/>
  <c r="I169" i="16"/>
  <c r="G169" i="16"/>
  <c r="E169" i="16"/>
  <c r="C169" i="16"/>
  <c r="I168" i="16"/>
  <c r="G168" i="16"/>
  <c r="E168" i="16"/>
  <c r="C168" i="16"/>
  <c r="I167" i="16"/>
  <c r="G167" i="16"/>
  <c r="E167" i="16"/>
  <c r="C167" i="16"/>
  <c r="I166" i="16"/>
  <c r="G166" i="16"/>
  <c r="E166" i="16"/>
  <c r="C166" i="16"/>
  <c r="I165" i="16"/>
  <c r="G165" i="16"/>
  <c r="E165" i="16"/>
  <c r="C165" i="16"/>
  <c r="I164" i="16"/>
  <c r="G164" i="16"/>
  <c r="E164" i="16"/>
  <c r="C164" i="16"/>
  <c r="I163" i="16"/>
  <c r="G163" i="16"/>
  <c r="E163" i="16"/>
  <c r="C163" i="16"/>
  <c r="I162" i="16"/>
  <c r="G162" i="16"/>
  <c r="E162" i="16"/>
  <c r="C162" i="16"/>
  <c r="I161" i="16"/>
  <c r="G161" i="16"/>
  <c r="E161" i="16"/>
  <c r="C161" i="16"/>
  <c r="I160" i="16"/>
  <c r="G160" i="16"/>
  <c r="E160" i="16"/>
  <c r="C160" i="16"/>
  <c r="I159" i="16"/>
  <c r="G159" i="16"/>
  <c r="E159" i="16"/>
  <c r="C159" i="16"/>
  <c r="I158" i="16"/>
  <c r="G158" i="16"/>
  <c r="E158" i="16"/>
  <c r="C158" i="16"/>
  <c r="I157" i="16"/>
  <c r="G157" i="16"/>
  <c r="E157" i="16"/>
  <c r="C157" i="16"/>
  <c r="I156" i="16"/>
  <c r="G156" i="16"/>
  <c r="E156" i="16"/>
  <c r="C156" i="16"/>
  <c r="I155" i="16"/>
  <c r="G155" i="16"/>
  <c r="E155" i="16"/>
  <c r="C155" i="16"/>
  <c r="I154" i="16"/>
  <c r="G154" i="16"/>
  <c r="E154" i="16"/>
  <c r="C154" i="16"/>
  <c r="I153" i="16"/>
  <c r="G153" i="16"/>
  <c r="E153" i="16"/>
  <c r="C153" i="16"/>
  <c r="I152" i="16"/>
  <c r="G152" i="16"/>
  <c r="E152" i="16"/>
  <c r="C152" i="16"/>
  <c r="I151" i="16"/>
  <c r="G151" i="16"/>
  <c r="E151" i="16"/>
  <c r="C151" i="16"/>
  <c r="I150" i="16"/>
  <c r="G150" i="16"/>
  <c r="E150" i="16"/>
  <c r="C150" i="16"/>
  <c r="I149" i="16"/>
  <c r="G149" i="16"/>
  <c r="E149" i="16"/>
  <c r="C149" i="16"/>
  <c r="I148" i="16"/>
  <c r="G148" i="16"/>
  <c r="E148" i="16"/>
  <c r="C148" i="16"/>
  <c r="I147" i="16"/>
  <c r="G147" i="16"/>
  <c r="E147" i="16"/>
  <c r="C147" i="16"/>
  <c r="I146" i="16"/>
  <c r="G146" i="16"/>
  <c r="E146" i="16"/>
  <c r="C146" i="16"/>
  <c r="I145" i="16"/>
  <c r="G145" i="16"/>
  <c r="E145" i="16"/>
  <c r="C145" i="16"/>
  <c r="I144" i="16"/>
  <c r="G144" i="16"/>
  <c r="E144" i="16"/>
  <c r="C144" i="16"/>
  <c r="I143" i="16"/>
  <c r="G143" i="16"/>
  <c r="E143" i="16"/>
  <c r="C143" i="16"/>
  <c r="I142" i="16"/>
  <c r="G142" i="16"/>
  <c r="E142" i="16"/>
  <c r="C142" i="16"/>
  <c r="I141" i="16"/>
  <c r="G141" i="16"/>
  <c r="E141" i="16"/>
  <c r="C141" i="16"/>
  <c r="I140" i="16"/>
  <c r="G140" i="16"/>
  <c r="E140" i="16"/>
  <c r="C140" i="16"/>
  <c r="I139" i="16"/>
  <c r="G139" i="16"/>
  <c r="E139" i="16"/>
  <c r="C139" i="16"/>
  <c r="I138" i="16"/>
  <c r="G138" i="16"/>
  <c r="E138" i="16"/>
  <c r="C138" i="16"/>
  <c r="I137" i="16"/>
  <c r="G137" i="16"/>
  <c r="E137" i="16"/>
  <c r="C137" i="16"/>
  <c r="I136" i="16"/>
  <c r="G136" i="16"/>
  <c r="E136" i="16"/>
  <c r="C136" i="16"/>
  <c r="I135" i="16"/>
  <c r="G135" i="16"/>
  <c r="E135" i="16"/>
  <c r="C135" i="16"/>
  <c r="I134" i="16"/>
  <c r="G134" i="16"/>
  <c r="E134" i="16"/>
  <c r="C134" i="16"/>
  <c r="I133" i="16"/>
  <c r="G133" i="16"/>
  <c r="E133" i="16"/>
  <c r="C133" i="16"/>
  <c r="I132" i="16"/>
  <c r="G132" i="16"/>
  <c r="E132" i="16"/>
  <c r="C132" i="16"/>
  <c r="I131" i="16"/>
  <c r="G131" i="16"/>
  <c r="E131" i="16"/>
  <c r="C131" i="16"/>
  <c r="I130" i="16"/>
  <c r="G130" i="16"/>
  <c r="E130" i="16"/>
  <c r="C130" i="16"/>
  <c r="I129" i="16"/>
  <c r="G129" i="16"/>
  <c r="E129" i="16"/>
  <c r="C129" i="16"/>
  <c r="I128" i="16"/>
  <c r="G128" i="16"/>
  <c r="E128" i="16"/>
  <c r="C128" i="16"/>
  <c r="I127" i="16"/>
  <c r="G127" i="16"/>
  <c r="E127" i="16"/>
  <c r="C127" i="16"/>
  <c r="I126" i="16"/>
  <c r="G126" i="16"/>
  <c r="E126" i="16"/>
  <c r="C126" i="16"/>
  <c r="I125" i="16"/>
  <c r="G125" i="16"/>
  <c r="E125" i="16"/>
  <c r="C125" i="16"/>
  <c r="I124" i="16"/>
  <c r="G124" i="16"/>
  <c r="E124" i="16"/>
  <c r="C124" i="16"/>
  <c r="I123" i="16"/>
  <c r="G123" i="16"/>
  <c r="E123" i="16"/>
  <c r="C123" i="16"/>
  <c r="I122" i="16"/>
  <c r="G122" i="16"/>
  <c r="E122" i="16"/>
  <c r="C122" i="16"/>
  <c r="I121" i="16"/>
  <c r="G121" i="16"/>
  <c r="E121" i="16"/>
  <c r="C121" i="16"/>
  <c r="I120" i="16"/>
  <c r="G120" i="16"/>
  <c r="E120" i="16"/>
  <c r="C120" i="16"/>
  <c r="I119" i="16"/>
  <c r="G119" i="16"/>
  <c r="E119" i="16"/>
  <c r="C119" i="16"/>
  <c r="I118" i="16"/>
  <c r="G118" i="16"/>
  <c r="E118" i="16"/>
  <c r="C118" i="16"/>
  <c r="I117" i="16"/>
  <c r="G117" i="16"/>
  <c r="E117" i="16"/>
  <c r="C117" i="16"/>
  <c r="I116" i="16"/>
  <c r="G116" i="16"/>
  <c r="E116" i="16"/>
  <c r="C116" i="16"/>
  <c r="I115" i="16"/>
  <c r="G115" i="16"/>
  <c r="E115" i="16"/>
  <c r="C115" i="16"/>
  <c r="I114" i="16"/>
  <c r="G114" i="16"/>
  <c r="E114" i="16"/>
  <c r="C114" i="16"/>
  <c r="I113" i="16"/>
  <c r="G113" i="16"/>
  <c r="E113" i="16"/>
  <c r="C113" i="16"/>
  <c r="I112" i="16"/>
  <c r="G112" i="16"/>
  <c r="E112" i="16"/>
  <c r="C112" i="16"/>
  <c r="I111" i="16"/>
  <c r="G111" i="16"/>
  <c r="E111" i="16"/>
  <c r="C111" i="16"/>
  <c r="I110" i="16"/>
  <c r="G110" i="16"/>
  <c r="E110" i="16"/>
  <c r="C110" i="16"/>
  <c r="I109" i="16"/>
  <c r="G109" i="16"/>
  <c r="E109" i="16"/>
  <c r="C109" i="16"/>
  <c r="I108" i="16"/>
  <c r="G108" i="16"/>
  <c r="E108" i="16"/>
  <c r="C108" i="16"/>
  <c r="I107" i="16"/>
  <c r="G107" i="16"/>
  <c r="E107" i="16"/>
  <c r="C107" i="16"/>
  <c r="I106" i="16"/>
  <c r="G106" i="16"/>
  <c r="E106" i="16"/>
  <c r="C106" i="16"/>
  <c r="I105" i="16"/>
  <c r="G105" i="16"/>
  <c r="E105" i="16"/>
  <c r="C105" i="16"/>
  <c r="I104" i="16"/>
  <c r="G104" i="16"/>
  <c r="E104" i="16"/>
  <c r="C104" i="16"/>
  <c r="I103" i="16"/>
  <c r="G103" i="16"/>
  <c r="E103" i="16"/>
  <c r="C103" i="16"/>
  <c r="I102" i="16"/>
  <c r="G102" i="16"/>
  <c r="E102" i="16"/>
  <c r="C102" i="16"/>
  <c r="I101" i="16"/>
  <c r="G101" i="16"/>
  <c r="E101" i="16"/>
  <c r="C101" i="16"/>
  <c r="I100" i="16"/>
  <c r="G100" i="16"/>
  <c r="E100" i="16"/>
  <c r="C100" i="16"/>
  <c r="I99" i="16"/>
  <c r="G99" i="16"/>
  <c r="E99" i="16"/>
  <c r="C99" i="16"/>
  <c r="I98" i="16"/>
  <c r="G98" i="16"/>
  <c r="E98" i="16"/>
  <c r="C98" i="16"/>
  <c r="I97" i="16"/>
  <c r="G97" i="16"/>
  <c r="E97" i="16"/>
  <c r="C97" i="16"/>
  <c r="I96" i="16"/>
  <c r="G96" i="16"/>
  <c r="E96" i="16"/>
  <c r="C96" i="16"/>
  <c r="I95" i="16"/>
  <c r="G95" i="16"/>
  <c r="E95" i="16"/>
  <c r="C95" i="16"/>
  <c r="I94" i="16"/>
  <c r="G94" i="16"/>
  <c r="E94" i="16"/>
  <c r="C94" i="16"/>
  <c r="I93" i="16"/>
  <c r="G93" i="16"/>
  <c r="E93" i="16"/>
  <c r="C93" i="16"/>
  <c r="I92" i="16"/>
  <c r="G92" i="16"/>
  <c r="E92" i="16"/>
  <c r="C92" i="16"/>
  <c r="I91" i="16"/>
  <c r="G91" i="16"/>
  <c r="E91" i="16"/>
  <c r="C91" i="16"/>
  <c r="I90" i="16"/>
  <c r="G90" i="16"/>
  <c r="E90" i="16"/>
  <c r="C90" i="16"/>
  <c r="I89" i="16"/>
  <c r="G89" i="16"/>
  <c r="E89" i="16"/>
  <c r="C89" i="16"/>
  <c r="I88" i="16"/>
  <c r="G88" i="16"/>
  <c r="E88" i="16"/>
  <c r="C88" i="16"/>
  <c r="I87" i="16"/>
  <c r="G87" i="16"/>
  <c r="E87" i="16"/>
  <c r="C87" i="16"/>
  <c r="I86" i="16"/>
  <c r="G86" i="16"/>
  <c r="E86" i="16"/>
  <c r="C86" i="16"/>
  <c r="I85" i="16"/>
  <c r="G85" i="16"/>
  <c r="E85" i="16"/>
  <c r="C85" i="16"/>
  <c r="I84" i="16"/>
  <c r="G84" i="16"/>
  <c r="E84" i="16"/>
  <c r="C84" i="16"/>
  <c r="I83" i="16"/>
  <c r="G83" i="16"/>
  <c r="E83" i="16"/>
  <c r="C83" i="16"/>
  <c r="I82" i="16"/>
  <c r="G82" i="16"/>
  <c r="E82" i="16"/>
  <c r="C82" i="16"/>
  <c r="I81" i="16"/>
  <c r="G81" i="16"/>
  <c r="E81" i="16"/>
  <c r="C81" i="16"/>
  <c r="I80" i="16"/>
  <c r="G80" i="16"/>
  <c r="E80" i="16"/>
  <c r="C80" i="16"/>
  <c r="I79" i="16"/>
  <c r="G79" i="16"/>
  <c r="E79" i="16"/>
  <c r="C79" i="16"/>
  <c r="I78" i="16"/>
  <c r="G78" i="16"/>
  <c r="E78" i="16"/>
  <c r="C78" i="16"/>
  <c r="I77" i="16"/>
  <c r="G77" i="16"/>
  <c r="E77" i="16"/>
  <c r="C77" i="16"/>
  <c r="I76" i="16"/>
  <c r="G76" i="16"/>
  <c r="E76" i="16"/>
  <c r="C76" i="16"/>
  <c r="I75" i="16"/>
  <c r="G75" i="16"/>
  <c r="E75" i="16"/>
  <c r="C75" i="16"/>
  <c r="I74" i="16"/>
  <c r="G74" i="16"/>
  <c r="E74" i="16"/>
  <c r="C74" i="16"/>
  <c r="I73" i="16"/>
  <c r="G73" i="16"/>
  <c r="E73" i="16"/>
  <c r="C73" i="16"/>
  <c r="I72" i="16"/>
  <c r="G72" i="16"/>
  <c r="E72" i="16"/>
  <c r="C72" i="16"/>
  <c r="I71" i="16"/>
  <c r="G71" i="16"/>
  <c r="E71" i="16"/>
  <c r="C71" i="16"/>
  <c r="I70" i="16"/>
  <c r="G70" i="16"/>
  <c r="E70" i="16"/>
  <c r="C70" i="16"/>
  <c r="I69" i="16"/>
  <c r="G69" i="16"/>
  <c r="E69" i="16"/>
  <c r="C69" i="16"/>
  <c r="I68" i="16"/>
  <c r="G68" i="16"/>
  <c r="E68" i="16"/>
  <c r="C68" i="16"/>
  <c r="I67" i="16"/>
  <c r="G67" i="16"/>
  <c r="E67" i="16"/>
  <c r="C67" i="16"/>
  <c r="I66" i="16"/>
  <c r="G66" i="16"/>
  <c r="E66" i="16"/>
  <c r="C66" i="16"/>
  <c r="I65" i="16"/>
  <c r="G65" i="16"/>
  <c r="E65" i="16"/>
  <c r="C65" i="16"/>
  <c r="I64" i="16"/>
  <c r="G64" i="16"/>
  <c r="E64" i="16"/>
  <c r="C64" i="16"/>
  <c r="I63" i="16"/>
  <c r="G63" i="16"/>
  <c r="E63" i="16"/>
  <c r="C63" i="16"/>
  <c r="I62" i="16"/>
  <c r="G62" i="16"/>
  <c r="E62" i="16"/>
  <c r="C62" i="16"/>
  <c r="I61" i="16"/>
  <c r="G61" i="16"/>
  <c r="E61" i="16"/>
  <c r="C61" i="16"/>
  <c r="I60" i="16"/>
  <c r="G60" i="16"/>
  <c r="E60" i="16"/>
  <c r="C60" i="16"/>
  <c r="I59" i="16"/>
  <c r="G59" i="16"/>
  <c r="E59" i="16"/>
  <c r="C59" i="16"/>
  <c r="I58" i="16"/>
  <c r="G58" i="16"/>
  <c r="E58" i="16"/>
  <c r="C58" i="16"/>
  <c r="I57" i="16"/>
  <c r="G57" i="16"/>
  <c r="E57" i="16"/>
  <c r="C57" i="16"/>
  <c r="I56" i="16"/>
  <c r="G56" i="16"/>
  <c r="E56" i="16"/>
  <c r="C56" i="16"/>
  <c r="I55" i="16"/>
  <c r="G55" i="16"/>
  <c r="E55" i="16"/>
  <c r="C55" i="16"/>
  <c r="I54" i="16"/>
  <c r="G54" i="16"/>
  <c r="E54" i="16"/>
  <c r="C54" i="16"/>
  <c r="I53" i="16"/>
  <c r="G53" i="16"/>
  <c r="E53" i="16"/>
  <c r="C53" i="16"/>
  <c r="I52" i="16"/>
  <c r="G52" i="16"/>
  <c r="E52" i="16"/>
  <c r="C52" i="16"/>
  <c r="I51" i="16"/>
  <c r="G51" i="16"/>
  <c r="E51" i="16"/>
  <c r="C51" i="16"/>
  <c r="I50" i="16"/>
  <c r="G50" i="16"/>
  <c r="E50" i="16"/>
  <c r="C50" i="16"/>
  <c r="I49" i="16"/>
  <c r="G49" i="16"/>
  <c r="E49" i="16"/>
  <c r="C49" i="16"/>
  <c r="I48" i="16"/>
  <c r="G48" i="16"/>
  <c r="E48" i="16"/>
  <c r="C48" i="16"/>
  <c r="I47" i="16"/>
  <c r="G47" i="16"/>
  <c r="E47" i="16"/>
  <c r="C47" i="16"/>
  <c r="I46" i="16"/>
  <c r="G46" i="16"/>
  <c r="E46" i="16"/>
  <c r="C46" i="16"/>
  <c r="I45" i="16"/>
  <c r="G45" i="16"/>
  <c r="E45" i="16"/>
  <c r="C45" i="16"/>
  <c r="I44" i="16"/>
  <c r="G44" i="16"/>
  <c r="E44" i="16"/>
  <c r="C44" i="16"/>
  <c r="I43" i="16"/>
  <c r="G43" i="16"/>
  <c r="E43" i="16"/>
  <c r="C43" i="16"/>
  <c r="I42" i="16"/>
  <c r="G42" i="16"/>
  <c r="E42" i="16"/>
  <c r="C42" i="16"/>
  <c r="I41" i="16"/>
  <c r="G41" i="16"/>
  <c r="E41" i="16"/>
  <c r="C41" i="16"/>
  <c r="I40" i="16"/>
  <c r="G40" i="16"/>
  <c r="E40" i="16"/>
  <c r="C40" i="16"/>
  <c r="I39" i="16"/>
  <c r="G39" i="16"/>
  <c r="E39" i="16"/>
  <c r="C39" i="16"/>
  <c r="I38" i="16"/>
  <c r="G38" i="16"/>
  <c r="E38" i="16"/>
  <c r="C38" i="16"/>
  <c r="I37" i="16"/>
  <c r="G37" i="16"/>
  <c r="E37" i="16"/>
  <c r="C37" i="16"/>
  <c r="I36" i="16"/>
  <c r="G36" i="16"/>
  <c r="E36" i="16"/>
  <c r="C36" i="16"/>
  <c r="I35" i="16"/>
  <c r="G35" i="16"/>
  <c r="E35" i="16"/>
  <c r="C35" i="16"/>
  <c r="I34" i="16"/>
  <c r="G34" i="16"/>
  <c r="E34" i="16"/>
  <c r="C34" i="16"/>
  <c r="I33" i="16"/>
  <c r="G33" i="16"/>
  <c r="E33" i="16"/>
  <c r="C33" i="16"/>
  <c r="I32" i="16"/>
  <c r="G32" i="16"/>
  <c r="E32" i="16"/>
  <c r="C32" i="16"/>
  <c r="I31" i="16"/>
  <c r="G31" i="16"/>
  <c r="E31" i="16"/>
  <c r="C31" i="16"/>
  <c r="I30" i="16"/>
  <c r="G30" i="16"/>
  <c r="E30" i="16"/>
  <c r="C30" i="16"/>
  <c r="I29" i="16"/>
  <c r="G29" i="16"/>
  <c r="E29" i="16"/>
  <c r="C29" i="16"/>
  <c r="S28" i="16"/>
  <c r="I28" i="16"/>
  <c r="G28" i="16"/>
  <c r="E28" i="16"/>
  <c r="C28" i="16"/>
  <c r="S27" i="16"/>
  <c r="I27" i="16"/>
  <c r="G27" i="16"/>
  <c r="E27" i="16"/>
  <c r="C27" i="16"/>
  <c r="I26" i="16"/>
  <c r="G26" i="16"/>
  <c r="E26" i="16"/>
  <c r="C26" i="16"/>
  <c r="I25" i="16"/>
  <c r="G25" i="16"/>
  <c r="E25" i="16"/>
  <c r="C25" i="16"/>
  <c r="I24" i="16"/>
  <c r="G24" i="16"/>
  <c r="E24" i="16"/>
  <c r="C24" i="16"/>
  <c r="T23" i="16"/>
  <c r="I23" i="16"/>
  <c r="G23" i="16"/>
  <c r="E23" i="16"/>
  <c r="C23" i="16"/>
  <c r="I22" i="16"/>
  <c r="G22" i="16"/>
  <c r="E22" i="16"/>
  <c r="C22" i="16"/>
  <c r="I21" i="16"/>
  <c r="G21" i="16"/>
  <c r="E21" i="16"/>
  <c r="C21" i="16"/>
  <c r="I20" i="16"/>
  <c r="G20" i="16"/>
  <c r="E20" i="16"/>
  <c r="C20" i="16"/>
  <c r="I19" i="16"/>
  <c r="G19" i="16"/>
  <c r="E19" i="16"/>
  <c r="C19" i="16"/>
  <c r="I18" i="16"/>
  <c r="G18" i="16"/>
  <c r="E18" i="16"/>
  <c r="C18" i="16"/>
  <c r="I17" i="16"/>
  <c r="G17" i="16"/>
  <c r="E17" i="16"/>
  <c r="C17" i="16"/>
  <c r="I16" i="16"/>
  <c r="G16" i="16"/>
  <c r="E16" i="16"/>
  <c r="C16" i="16"/>
  <c r="I15" i="16"/>
  <c r="G15" i="16"/>
  <c r="E15" i="16"/>
  <c r="C15" i="16"/>
  <c r="I14" i="16"/>
  <c r="G14" i="16"/>
  <c r="E14" i="16"/>
  <c r="C14" i="16"/>
  <c r="I13" i="16"/>
  <c r="G13" i="16"/>
  <c r="E13" i="16"/>
  <c r="C13" i="16"/>
  <c r="I12" i="16"/>
  <c r="G12" i="16"/>
  <c r="E12" i="16"/>
  <c r="C12" i="16"/>
  <c r="I11" i="16"/>
  <c r="G11" i="16"/>
  <c r="E11" i="16"/>
  <c r="C11" i="16"/>
  <c r="I10" i="16"/>
  <c r="G10" i="16"/>
  <c r="E10" i="16"/>
  <c r="C10" i="16"/>
  <c r="I9" i="16"/>
  <c r="G9" i="16"/>
  <c r="E9" i="16"/>
  <c r="C9" i="16"/>
  <c r="I8" i="16"/>
  <c r="G8" i="16"/>
  <c r="E8" i="16"/>
  <c r="C8" i="16"/>
  <c r="I7" i="16"/>
  <c r="G7" i="16"/>
  <c r="E7" i="16"/>
  <c r="C7" i="16"/>
  <c r="I6" i="16"/>
  <c r="G6" i="16"/>
  <c r="E6" i="16"/>
  <c r="C6" i="16"/>
  <c r="I5" i="16"/>
  <c r="G5" i="16"/>
  <c r="E5" i="16"/>
  <c r="C5" i="16"/>
  <c r="I4" i="16"/>
  <c r="G4" i="16"/>
  <c r="E4" i="16"/>
  <c r="C4" i="16"/>
  <c r="I3" i="16"/>
  <c r="G3" i="16"/>
  <c r="E3" i="16"/>
  <c r="C3" i="16"/>
  <c r="O17" i="15"/>
  <c r="O16" i="15"/>
  <c r="O15" i="15"/>
  <c r="O14" i="15"/>
  <c r="N17" i="15"/>
  <c r="N16" i="15"/>
  <c r="N15" i="15"/>
  <c r="N14" i="15"/>
  <c r="Q7" i="15"/>
  <c r="Q6" i="15"/>
  <c r="Q5" i="15"/>
  <c r="Q4" i="15"/>
  <c r="P7" i="15"/>
  <c r="P6" i="15"/>
  <c r="P5" i="15"/>
  <c r="P4" i="15"/>
  <c r="O7" i="15"/>
  <c r="O6" i="15"/>
  <c r="O5" i="15"/>
  <c r="O4" i="15"/>
  <c r="N7" i="15"/>
  <c r="N6" i="15"/>
  <c r="N5" i="15"/>
  <c r="N4" i="15"/>
  <c r="I362" i="15"/>
  <c r="G362" i="15"/>
  <c r="E362" i="15"/>
  <c r="C362" i="15"/>
  <c r="I361" i="15"/>
  <c r="G361" i="15"/>
  <c r="E361" i="15"/>
  <c r="C361" i="15"/>
  <c r="I360" i="15"/>
  <c r="G360" i="15"/>
  <c r="E360" i="15"/>
  <c r="C360" i="15"/>
  <c r="I359" i="15"/>
  <c r="G359" i="15"/>
  <c r="E359" i="15"/>
  <c r="C359" i="15"/>
  <c r="I358" i="15"/>
  <c r="G358" i="15"/>
  <c r="E358" i="15"/>
  <c r="C358" i="15"/>
  <c r="I357" i="15"/>
  <c r="G357" i="15"/>
  <c r="E357" i="15"/>
  <c r="C357" i="15"/>
  <c r="I356" i="15"/>
  <c r="G356" i="15"/>
  <c r="E356" i="15"/>
  <c r="C356" i="15"/>
  <c r="I355" i="15"/>
  <c r="G355" i="15"/>
  <c r="E355" i="15"/>
  <c r="C355" i="15"/>
  <c r="I354" i="15"/>
  <c r="G354" i="15"/>
  <c r="E354" i="15"/>
  <c r="C354" i="15"/>
  <c r="I353" i="15"/>
  <c r="G353" i="15"/>
  <c r="E353" i="15"/>
  <c r="C353" i="15"/>
  <c r="I352" i="15"/>
  <c r="G352" i="15"/>
  <c r="E352" i="15"/>
  <c r="C352" i="15"/>
  <c r="I351" i="15"/>
  <c r="G351" i="15"/>
  <c r="E351" i="15"/>
  <c r="C351" i="15"/>
  <c r="I350" i="15"/>
  <c r="G350" i="15"/>
  <c r="E350" i="15"/>
  <c r="C350" i="15"/>
  <c r="I349" i="15"/>
  <c r="G349" i="15"/>
  <c r="E349" i="15"/>
  <c r="C349" i="15"/>
  <c r="I348" i="15"/>
  <c r="G348" i="15"/>
  <c r="E348" i="15"/>
  <c r="C348" i="15"/>
  <c r="I347" i="15"/>
  <c r="G347" i="15"/>
  <c r="E347" i="15"/>
  <c r="C347" i="15"/>
  <c r="I346" i="15"/>
  <c r="G346" i="15"/>
  <c r="E346" i="15"/>
  <c r="C346" i="15"/>
  <c r="I345" i="15"/>
  <c r="G345" i="15"/>
  <c r="E345" i="15"/>
  <c r="C345" i="15"/>
  <c r="I344" i="15"/>
  <c r="G344" i="15"/>
  <c r="E344" i="15"/>
  <c r="C344" i="15"/>
  <c r="I343" i="15"/>
  <c r="G343" i="15"/>
  <c r="E343" i="15"/>
  <c r="C343" i="15"/>
  <c r="I342" i="15"/>
  <c r="G342" i="15"/>
  <c r="E342" i="15"/>
  <c r="C342" i="15"/>
  <c r="I341" i="15"/>
  <c r="G341" i="15"/>
  <c r="E341" i="15"/>
  <c r="C341" i="15"/>
  <c r="I340" i="15"/>
  <c r="G340" i="15"/>
  <c r="E340" i="15"/>
  <c r="C340" i="15"/>
  <c r="I339" i="15"/>
  <c r="G339" i="15"/>
  <c r="E339" i="15"/>
  <c r="C339" i="15"/>
  <c r="I338" i="15"/>
  <c r="G338" i="15"/>
  <c r="E338" i="15"/>
  <c r="C338" i="15"/>
  <c r="I337" i="15"/>
  <c r="G337" i="15"/>
  <c r="E337" i="15"/>
  <c r="C337" i="15"/>
  <c r="I336" i="15"/>
  <c r="G336" i="15"/>
  <c r="E336" i="15"/>
  <c r="C336" i="15"/>
  <c r="I335" i="15"/>
  <c r="G335" i="15"/>
  <c r="E335" i="15"/>
  <c r="C335" i="15"/>
  <c r="I334" i="15"/>
  <c r="G334" i="15"/>
  <c r="E334" i="15"/>
  <c r="C334" i="15"/>
  <c r="I333" i="15"/>
  <c r="G333" i="15"/>
  <c r="E333" i="15"/>
  <c r="C333" i="15"/>
  <c r="I332" i="15"/>
  <c r="G332" i="15"/>
  <c r="E332" i="15"/>
  <c r="C332" i="15"/>
  <c r="I331" i="15"/>
  <c r="G331" i="15"/>
  <c r="E331" i="15"/>
  <c r="C331" i="15"/>
  <c r="I330" i="15"/>
  <c r="G330" i="15"/>
  <c r="E330" i="15"/>
  <c r="C330" i="15"/>
  <c r="I329" i="15"/>
  <c r="G329" i="15"/>
  <c r="E329" i="15"/>
  <c r="C329" i="15"/>
  <c r="I328" i="15"/>
  <c r="G328" i="15"/>
  <c r="E328" i="15"/>
  <c r="C328" i="15"/>
  <c r="I327" i="15"/>
  <c r="G327" i="15"/>
  <c r="E327" i="15"/>
  <c r="C327" i="15"/>
  <c r="I326" i="15"/>
  <c r="G326" i="15"/>
  <c r="E326" i="15"/>
  <c r="C326" i="15"/>
  <c r="I325" i="15"/>
  <c r="G325" i="15"/>
  <c r="E325" i="15"/>
  <c r="C325" i="15"/>
  <c r="I324" i="15"/>
  <c r="G324" i="15"/>
  <c r="E324" i="15"/>
  <c r="C324" i="15"/>
  <c r="I323" i="15"/>
  <c r="G323" i="15"/>
  <c r="E323" i="15"/>
  <c r="C323" i="15"/>
  <c r="I322" i="15"/>
  <c r="G322" i="15"/>
  <c r="E322" i="15"/>
  <c r="C322" i="15"/>
  <c r="I321" i="15"/>
  <c r="G321" i="15"/>
  <c r="E321" i="15"/>
  <c r="C321" i="15"/>
  <c r="I320" i="15"/>
  <c r="G320" i="15"/>
  <c r="E320" i="15"/>
  <c r="C320" i="15"/>
  <c r="I319" i="15"/>
  <c r="G319" i="15"/>
  <c r="E319" i="15"/>
  <c r="C319" i="15"/>
  <c r="I318" i="15"/>
  <c r="G318" i="15"/>
  <c r="E318" i="15"/>
  <c r="C318" i="15"/>
  <c r="I317" i="15"/>
  <c r="G317" i="15"/>
  <c r="E317" i="15"/>
  <c r="C317" i="15"/>
  <c r="I316" i="15"/>
  <c r="G316" i="15"/>
  <c r="E316" i="15"/>
  <c r="C316" i="15"/>
  <c r="I315" i="15"/>
  <c r="G315" i="15"/>
  <c r="E315" i="15"/>
  <c r="C315" i="15"/>
  <c r="I314" i="15"/>
  <c r="G314" i="15"/>
  <c r="E314" i="15"/>
  <c r="C314" i="15"/>
  <c r="I313" i="15"/>
  <c r="G313" i="15"/>
  <c r="E313" i="15"/>
  <c r="C313" i="15"/>
  <c r="I312" i="15"/>
  <c r="G312" i="15"/>
  <c r="E312" i="15"/>
  <c r="C312" i="15"/>
  <c r="I311" i="15"/>
  <c r="G311" i="15"/>
  <c r="E311" i="15"/>
  <c r="C311" i="15"/>
  <c r="I310" i="15"/>
  <c r="G310" i="15"/>
  <c r="E310" i="15"/>
  <c r="C310" i="15"/>
  <c r="I309" i="15"/>
  <c r="G309" i="15"/>
  <c r="E309" i="15"/>
  <c r="C309" i="15"/>
  <c r="I308" i="15"/>
  <c r="G308" i="15"/>
  <c r="E308" i="15"/>
  <c r="C308" i="15"/>
  <c r="I307" i="15"/>
  <c r="G307" i="15"/>
  <c r="E307" i="15"/>
  <c r="C307" i="15"/>
  <c r="I306" i="15"/>
  <c r="G306" i="15"/>
  <c r="E306" i="15"/>
  <c r="C306" i="15"/>
  <c r="I305" i="15"/>
  <c r="G305" i="15"/>
  <c r="E305" i="15"/>
  <c r="C305" i="15"/>
  <c r="I304" i="15"/>
  <c r="G304" i="15"/>
  <c r="E304" i="15"/>
  <c r="C304" i="15"/>
  <c r="I303" i="15"/>
  <c r="G303" i="15"/>
  <c r="E303" i="15"/>
  <c r="C303" i="15"/>
  <c r="I302" i="15"/>
  <c r="G302" i="15"/>
  <c r="E302" i="15"/>
  <c r="C302" i="15"/>
  <c r="I301" i="15"/>
  <c r="G301" i="15"/>
  <c r="E301" i="15"/>
  <c r="C301" i="15"/>
  <c r="I300" i="15"/>
  <c r="G300" i="15"/>
  <c r="E300" i="15"/>
  <c r="C300" i="15"/>
  <c r="I299" i="15"/>
  <c r="G299" i="15"/>
  <c r="E299" i="15"/>
  <c r="C299" i="15"/>
  <c r="I298" i="15"/>
  <c r="G298" i="15"/>
  <c r="E298" i="15"/>
  <c r="C298" i="15"/>
  <c r="I297" i="15"/>
  <c r="G297" i="15"/>
  <c r="E297" i="15"/>
  <c r="C297" i="15"/>
  <c r="I296" i="15"/>
  <c r="G296" i="15"/>
  <c r="E296" i="15"/>
  <c r="C296" i="15"/>
  <c r="I295" i="15"/>
  <c r="G295" i="15"/>
  <c r="E295" i="15"/>
  <c r="C295" i="15"/>
  <c r="I294" i="15"/>
  <c r="G294" i="15"/>
  <c r="E294" i="15"/>
  <c r="C294" i="15"/>
  <c r="I293" i="15"/>
  <c r="G293" i="15"/>
  <c r="E293" i="15"/>
  <c r="C293" i="15"/>
  <c r="I292" i="15"/>
  <c r="G292" i="15"/>
  <c r="E292" i="15"/>
  <c r="C292" i="15"/>
  <c r="I291" i="15"/>
  <c r="G291" i="15"/>
  <c r="E291" i="15"/>
  <c r="C291" i="15"/>
  <c r="I290" i="15"/>
  <c r="G290" i="15"/>
  <c r="E290" i="15"/>
  <c r="C290" i="15"/>
  <c r="I289" i="15"/>
  <c r="G289" i="15"/>
  <c r="E289" i="15"/>
  <c r="C289" i="15"/>
  <c r="I288" i="15"/>
  <c r="G288" i="15"/>
  <c r="E288" i="15"/>
  <c r="C288" i="15"/>
  <c r="I287" i="15"/>
  <c r="G287" i="15"/>
  <c r="E287" i="15"/>
  <c r="C287" i="15"/>
  <c r="I286" i="15"/>
  <c r="G286" i="15"/>
  <c r="E286" i="15"/>
  <c r="C286" i="15"/>
  <c r="I285" i="15"/>
  <c r="G285" i="15"/>
  <c r="E285" i="15"/>
  <c r="C285" i="15"/>
  <c r="I284" i="15"/>
  <c r="G284" i="15"/>
  <c r="E284" i="15"/>
  <c r="C284" i="15"/>
  <c r="I283" i="15"/>
  <c r="G283" i="15"/>
  <c r="E283" i="15"/>
  <c r="C283" i="15"/>
  <c r="I282" i="15"/>
  <c r="G282" i="15"/>
  <c r="E282" i="15"/>
  <c r="C282" i="15"/>
  <c r="I281" i="15"/>
  <c r="G281" i="15"/>
  <c r="E281" i="15"/>
  <c r="C281" i="15"/>
  <c r="I280" i="15"/>
  <c r="G280" i="15"/>
  <c r="E280" i="15"/>
  <c r="C280" i="15"/>
  <c r="I279" i="15"/>
  <c r="G279" i="15"/>
  <c r="E279" i="15"/>
  <c r="C279" i="15"/>
  <c r="I278" i="15"/>
  <c r="G278" i="15"/>
  <c r="E278" i="15"/>
  <c r="C278" i="15"/>
  <c r="I277" i="15"/>
  <c r="G277" i="15"/>
  <c r="E277" i="15"/>
  <c r="C277" i="15"/>
  <c r="I276" i="15"/>
  <c r="G276" i="15"/>
  <c r="E276" i="15"/>
  <c r="C276" i="15"/>
  <c r="I275" i="15"/>
  <c r="G275" i="15"/>
  <c r="E275" i="15"/>
  <c r="C275" i="15"/>
  <c r="I274" i="15"/>
  <c r="G274" i="15"/>
  <c r="E274" i="15"/>
  <c r="C274" i="15"/>
  <c r="I273" i="15"/>
  <c r="G273" i="15"/>
  <c r="E273" i="15"/>
  <c r="C273" i="15"/>
  <c r="I272" i="15"/>
  <c r="G272" i="15"/>
  <c r="E272" i="15"/>
  <c r="C272" i="15"/>
  <c r="I271" i="15"/>
  <c r="G271" i="15"/>
  <c r="E271" i="15"/>
  <c r="C271" i="15"/>
  <c r="I270" i="15"/>
  <c r="G270" i="15"/>
  <c r="E270" i="15"/>
  <c r="C270" i="15"/>
  <c r="I269" i="15"/>
  <c r="G269" i="15"/>
  <c r="E269" i="15"/>
  <c r="C269" i="15"/>
  <c r="I268" i="15"/>
  <c r="G268" i="15"/>
  <c r="E268" i="15"/>
  <c r="C268" i="15"/>
  <c r="I267" i="15"/>
  <c r="G267" i="15"/>
  <c r="E267" i="15"/>
  <c r="C267" i="15"/>
  <c r="I266" i="15"/>
  <c r="G266" i="15"/>
  <c r="E266" i="15"/>
  <c r="C266" i="15"/>
  <c r="I265" i="15"/>
  <c r="G265" i="15"/>
  <c r="E265" i="15"/>
  <c r="C265" i="15"/>
  <c r="I264" i="15"/>
  <c r="G264" i="15"/>
  <c r="E264" i="15"/>
  <c r="C264" i="15"/>
  <c r="I263" i="15"/>
  <c r="G263" i="15"/>
  <c r="E263" i="15"/>
  <c r="C263" i="15"/>
  <c r="I262" i="15"/>
  <c r="G262" i="15"/>
  <c r="E262" i="15"/>
  <c r="C262" i="15"/>
  <c r="I261" i="15"/>
  <c r="G261" i="15"/>
  <c r="E261" i="15"/>
  <c r="C261" i="15"/>
  <c r="I260" i="15"/>
  <c r="G260" i="15"/>
  <c r="E260" i="15"/>
  <c r="C260" i="15"/>
  <c r="I259" i="15"/>
  <c r="G259" i="15"/>
  <c r="E259" i="15"/>
  <c r="C259" i="15"/>
  <c r="I258" i="15"/>
  <c r="G258" i="15"/>
  <c r="E258" i="15"/>
  <c r="C258" i="15"/>
  <c r="I257" i="15"/>
  <c r="G257" i="15"/>
  <c r="E257" i="15"/>
  <c r="C257" i="15"/>
  <c r="I256" i="15"/>
  <c r="G256" i="15"/>
  <c r="E256" i="15"/>
  <c r="C256" i="15"/>
  <c r="I255" i="15"/>
  <c r="G255" i="15"/>
  <c r="E255" i="15"/>
  <c r="C255" i="15"/>
  <c r="I254" i="15"/>
  <c r="G254" i="15"/>
  <c r="E254" i="15"/>
  <c r="C254" i="15"/>
  <c r="I253" i="15"/>
  <c r="G253" i="15"/>
  <c r="E253" i="15"/>
  <c r="C253" i="15"/>
  <c r="I252" i="15"/>
  <c r="G252" i="15"/>
  <c r="E252" i="15"/>
  <c r="C252" i="15"/>
  <c r="I251" i="15"/>
  <c r="G251" i="15"/>
  <c r="E251" i="15"/>
  <c r="C251" i="15"/>
  <c r="I250" i="15"/>
  <c r="G250" i="15"/>
  <c r="E250" i="15"/>
  <c r="C250" i="15"/>
  <c r="I249" i="15"/>
  <c r="G249" i="15"/>
  <c r="E249" i="15"/>
  <c r="C249" i="15"/>
  <c r="I248" i="15"/>
  <c r="G248" i="15"/>
  <c r="E248" i="15"/>
  <c r="C248" i="15"/>
  <c r="I247" i="15"/>
  <c r="G247" i="15"/>
  <c r="E247" i="15"/>
  <c r="C247" i="15"/>
  <c r="I246" i="15"/>
  <c r="G246" i="15"/>
  <c r="E246" i="15"/>
  <c r="C246" i="15"/>
  <c r="I245" i="15"/>
  <c r="G245" i="15"/>
  <c r="E245" i="15"/>
  <c r="C245" i="15"/>
  <c r="I244" i="15"/>
  <c r="G244" i="15"/>
  <c r="E244" i="15"/>
  <c r="C244" i="15"/>
  <c r="I243" i="15"/>
  <c r="G243" i="15"/>
  <c r="E243" i="15"/>
  <c r="C243" i="15"/>
  <c r="I242" i="15"/>
  <c r="G242" i="15"/>
  <c r="E242" i="15"/>
  <c r="C242" i="15"/>
  <c r="I241" i="15"/>
  <c r="G241" i="15"/>
  <c r="E241" i="15"/>
  <c r="C241" i="15"/>
  <c r="I240" i="15"/>
  <c r="G240" i="15"/>
  <c r="E240" i="15"/>
  <c r="C240" i="15"/>
  <c r="I239" i="15"/>
  <c r="G239" i="15"/>
  <c r="E239" i="15"/>
  <c r="C239" i="15"/>
  <c r="I238" i="15"/>
  <c r="G238" i="15"/>
  <c r="E238" i="15"/>
  <c r="C238" i="15"/>
  <c r="I237" i="15"/>
  <c r="G237" i="15"/>
  <c r="E237" i="15"/>
  <c r="C237" i="15"/>
  <c r="I236" i="15"/>
  <c r="G236" i="15"/>
  <c r="E236" i="15"/>
  <c r="C236" i="15"/>
  <c r="I235" i="15"/>
  <c r="G235" i="15"/>
  <c r="E235" i="15"/>
  <c r="C235" i="15"/>
  <c r="I234" i="15"/>
  <c r="G234" i="15"/>
  <c r="E234" i="15"/>
  <c r="C234" i="15"/>
  <c r="I233" i="15"/>
  <c r="G233" i="15"/>
  <c r="E233" i="15"/>
  <c r="C233" i="15"/>
  <c r="I232" i="15"/>
  <c r="G232" i="15"/>
  <c r="E232" i="15"/>
  <c r="C232" i="15"/>
  <c r="I231" i="15"/>
  <c r="G231" i="15"/>
  <c r="E231" i="15"/>
  <c r="C231" i="15"/>
  <c r="I230" i="15"/>
  <c r="G230" i="15"/>
  <c r="E230" i="15"/>
  <c r="C230" i="15"/>
  <c r="I229" i="15"/>
  <c r="G229" i="15"/>
  <c r="E229" i="15"/>
  <c r="C229" i="15"/>
  <c r="I228" i="15"/>
  <c r="G228" i="15"/>
  <c r="E228" i="15"/>
  <c r="C228" i="15"/>
  <c r="I227" i="15"/>
  <c r="G227" i="15"/>
  <c r="E227" i="15"/>
  <c r="C227" i="15"/>
  <c r="I226" i="15"/>
  <c r="G226" i="15"/>
  <c r="E226" i="15"/>
  <c r="C226" i="15"/>
  <c r="I225" i="15"/>
  <c r="G225" i="15"/>
  <c r="E225" i="15"/>
  <c r="C225" i="15"/>
  <c r="I224" i="15"/>
  <c r="G224" i="15"/>
  <c r="E224" i="15"/>
  <c r="C224" i="15"/>
  <c r="I223" i="15"/>
  <c r="G223" i="15"/>
  <c r="E223" i="15"/>
  <c r="C223" i="15"/>
  <c r="I222" i="15"/>
  <c r="G222" i="15"/>
  <c r="E222" i="15"/>
  <c r="C222" i="15"/>
  <c r="I221" i="15"/>
  <c r="G221" i="15"/>
  <c r="E221" i="15"/>
  <c r="C221" i="15"/>
  <c r="I220" i="15"/>
  <c r="G220" i="15"/>
  <c r="E220" i="15"/>
  <c r="C220" i="15"/>
  <c r="I219" i="15"/>
  <c r="G219" i="15"/>
  <c r="E219" i="15"/>
  <c r="C219" i="15"/>
  <c r="I218" i="15"/>
  <c r="G218" i="15"/>
  <c r="E218" i="15"/>
  <c r="C218" i="15"/>
  <c r="I217" i="15"/>
  <c r="G217" i="15"/>
  <c r="E217" i="15"/>
  <c r="C217" i="15"/>
  <c r="I216" i="15"/>
  <c r="G216" i="15"/>
  <c r="E216" i="15"/>
  <c r="C216" i="15"/>
  <c r="I215" i="15"/>
  <c r="G215" i="15"/>
  <c r="E215" i="15"/>
  <c r="C215" i="15"/>
  <c r="I214" i="15"/>
  <c r="G214" i="15"/>
  <c r="E214" i="15"/>
  <c r="C214" i="15"/>
  <c r="I213" i="15"/>
  <c r="G213" i="15"/>
  <c r="E213" i="15"/>
  <c r="C213" i="15"/>
  <c r="I212" i="15"/>
  <c r="G212" i="15"/>
  <c r="E212" i="15"/>
  <c r="C212" i="15"/>
  <c r="I211" i="15"/>
  <c r="G211" i="15"/>
  <c r="E211" i="15"/>
  <c r="C211" i="15"/>
  <c r="I210" i="15"/>
  <c r="G210" i="15"/>
  <c r="E210" i="15"/>
  <c r="C210" i="15"/>
  <c r="I209" i="15"/>
  <c r="G209" i="15"/>
  <c r="E209" i="15"/>
  <c r="C209" i="15"/>
  <c r="I208" i="15"/>
  <c r="G208" i="15"/>
  <c r="E208" i="15"/>
  <c r="C208" i="15"/>
  <c r="I207" i="15"/>
  <c r="G207" i="15"/>
  <c r="E207" i="15"/>
  <c r="C207" i="15"/>
  <c r="I206" i="15"/>
  <c r="G206" i="15"/>
  <c r="E206" i="15"/>
  <c r="C206" i="15"/>
  <c r="I205" i="15"/>
  <c r="G205" i="15"/>
  <c r="E205" i="15"/>
  <c r="C205" i="15"/>
  <c r="I204" i="15"/>
  <c r="G204" i="15"/>
  <c r="E204" i="15"/>
  <c r="C204" i="15"/>
  <c r="I203" i="15"/>
  <c r="G203" i="15"/>
  <c r="E203" i="15"/>
  <c r="C203" i="15"/>
  <c r="I202" i="15"/>
  <c r="G202" i="15"/>
  <c r="E202" i="15"/>
  <c r="C202" i="15"/>
  <c r="I201" i="15"/>
  <c r="G201" i="15"/>
  <c r="E201" i="15"/>
  <c r="C201" i="15"/>
  <c r="I200" i="15"/>
  <c r="G200" i="15"/>
  <c r="E200" i="15"/>
  <c r="C200" i="15"/>
  <c r="I199" i="15"/>
  <c r="G199" i="15"/>
  <c r="E199" i="15"/>
  <c r="C199" i="15"/>
  <c r="I198" i="15"/>
  <c r="G198" i="15"/>
  <c r="E198" i="15"/>
  <c r="C198" i="15"/>
  <c r="I197" i="15"/>
  <c r="G197" i="15"/>
  <c r="E197" i="15"/>
  <c r="C197" i="15"/>
  <c r="I196" i="15"/>
  <c r="G196" i="15"/>
  <c r="E196" i="15"/>
  <c r="C196" i="15"/>
  <c r="I195" i="15"/>
  <c r="G195" i="15"/>
  <c r="E195" i="15"/>
  <c r="C195" i="15"/>
  <c r="I194" i="15"/>
  <c r="G194" i="15"/>
  <c r="E194" i="15"/>
  <c r="C194" i="15"/>
  <c r="I193" i="15"/>
  <c r="G193" i="15"/>
  <c r="E193" i="15"/>
  <c r="C193" i="15"/>
  <c r="I192" i="15"/>
  <c r="G192" i="15"/>
  <c r="E192" i="15"/>
  <c r="C192" i="15"/>
  <c r="I191" i="15"/>
  <c r="G191" i="15"/>
  <c r="E191" i="15"/>
  <c r="C191" i="15"/>
  <c r="I190" i="15"/>
  <c r="G190" i="15"/>
  <c r="E190" i="15"/>
  <c r="C190" i="15"/>
  <c r="I189" i="15"/>
  <c r="G189" i="15"/>
  <c r="E189" i="15"/>
  <c r="C189" i="15"/>
  <c r="I188" i="15"/>
  <c r="G188" i="15"/>
  <c r="E188" i="15"/>
  <c r="C188" i="15"/>
  <c r="I187" i="15"/>
  <c r="G187" i="15"/>
  <c r="E187" i="15"/>
  <c r="C187" i="15"/>
  <c r="I186" i="15"/>
  <c r="G186" i="15"/>
  <c r="E186" i="15"/>
  <c r="C186" i="15"/>
  <c r="I185" i="15"/>
  <c r="G185" i="15"/>
  <c r="E185" i="15"/>
  <c r="C185" i="15"/>
  <c r="I184" i="15"/>
  <c r="G184" i="15"/>
  <c r="E184" i="15"/>
  <c r="C184" i="15"/>
  <c r="I183" i="15"/>
  <c r="G183" i="15"/>
  <c r="E183" i="15"/>
  <c r="C183" i="15"/>
  <c r="I182" i="15"/>
  <c r="G182" i="15"/>
  <c r="E182" i="15"/>
  <c r="C182" i="15"/>
  <c r="I181" i="15"/>
  <c r="G181" i="15"/>
  <c r="E181" i="15"/>
  <c r="C181" i="15"/>
  <c r="I180" i="15"/>
  <c r="G180" i="15"/>
  <c r="E180" i="15"/>
  <c r="C180" i="15"/>
  <c r="I179" i="15"/>
  <c r="G179" i="15"/>
  <c r="E179" i="15"/>
  <c r="C179" i="15"/>
  <c r="I178" i="15"/>
  <c r="G178" i="15"/>
  <c r="E178" i="15"/>
  <c r="C178" i="15"/>
  <c r="I177" i="15"/>
  <c r="G177" i="15"/>
  <c r="E177" i="15"/>
  <c r="C177" i="15"/>
  <c r="I176" i="15"/>
  <c r="G176" i="15"/>
  <c r="E176" i="15"/>
  <c r="C176" i="15"/>
  <c r="I175" i="15"/>
  <c r="G175" i="15"/>
  <c r="E175" i="15"/>
  <c r="C175" i="15"/>
  <c r="I174" i="15"/>
  <c r="G174" i="15"/>
  <c r="E174" i="15"/>
  <c r="C174" i="15"/>
  <c r="I173" i="15"/>
  <c r="G173" i="15"/>
  <c r="E173" i="15"/>
  <c r="C173" i="15"/>
  <c r="I172" i="15"/>
  <c r="G172" i="15"/>
  <c r="E172" i="15"/>
  <c r="C172" i="15"/>
  <c r="I171" i="15"/>
  <c r="G171" i="15"/>
  <c r="E171" i="15"/>
  <c r="C171" i="15"/>
  <c r="I170" i="15"/>
  <c r="G170" i="15"/>
  <c r="E170" i="15"/>
  <c r="C170" i="15"/>
  <c r="I169" i="15"/>
  <c r="G169" i="15"/>
  <c r="E169" i="15"/>
  <c r="C169" i="15"/>
  <c r="I168" i="15"/>
  <c r="G168" i="15"/>
  <c r="E168" i="15"/>
  <c r="C168" i="15"/>
  <c r="I167" i="15"/>
  <c r="G167" i="15"/>
  <c r="E167" i="15"/>
  <c r="C167" i="15"/>
  <c r="I166" i="15"/>
  <c r="G166" i="15"/>
  <c r="E166" i="15"/>
  <c r="C166" i="15"/>
  <c r="I165" i="15"/>
  <c r="G165" i="15"/>
  <c r="E165" i="15"/>
  <c r="C165" i="15"/>
  <c r="I164" i="15"/>
  <c r="G164" i="15"/>
  <c r="E164" i="15"/>
  <c r="C164" i="15"/>
  <c r="I163" i="15"/>
  <c r="G163" i="15"/>
  <c r="E163" i="15"/>
  <c r="C163" i="15"/>
  <c r="I162" i="15"/>
  <c r="G162" i="15"/>
  <c r="E162" i="15"/>
  <c r="C162" i="15"/>
  <c r="I161" i="15"/>
  <c r="G161" i="15"/>
  <c r="E161" i="15"/>
  <c r="C161" i="15"/>
  <c r="I160" i="15"/>
  <c r="G160" i="15"/>
  <c r="E160" i="15"/>
  <c r="C160" i="15"/>
  <c r="I159" i="15"/>
  <c r="G159" i="15"/>
  <c r="E159" i="15"/>
  <c r="C159" i="15"/>
  <c r="I158" i="15"/>
  <c r="G158" i="15"/>
  <c r="E158" i="15"/>
  <c r="C158" i="15"/>
  <c r="I157" i="15"/>
  <c r="G157" i="15"/>
  <c r="E157" i="15"/>
  <c r="C157" i="15"/>
  <c r="I156" i="15"/>
  <c r="G156" i="15"/>
  <c r="E156" i="15"/>
  <c r="C156" i="15"/>
  <c r="I155" i="15"/>
  <c r="G155" i="15"/>
  <c r="E155" i="15"/>
  <c r="C155" i="15"/>
  <c r="I154" i="15"/>
  <c r="G154" i="15"/>
  <c r="E154" i="15"/>
  <c r="C154" i="15"/>
  <c r="I153" i="15"/>
  <c r="G153" i="15"/>
  <c r="E153" i="15"/>
  <c r="C153" i="15"/>
  <c r="I152" i="15"/>
  <c r="G152" i="15"/>
  <c r="E152" i="15"/>
  <c r="C152" i="15"/>
  <c r="I151" i="15"/>
  <c r="G151" i="15"/>
  <c r="E151" i="15"/>
  <c r="C151" i="15"/>
  <c r="I150" i="15"/>
  <c r="G150" i="15"/>
  <c r="E150" i="15"/>
  <c r="C150" i="15"/>
  <c r="I149" i="15"/>
  <c r="G149" i="15"/>
  <c r="E149" i="15"/>
  <c r="C149" i="15"/>
  <c r="I148" i="15"/>
  <c r="G148" i="15"/>
  <c r="E148" i="15"/>
  <c r="C148" i="15"/>
  <c r="I147" i="15"/>
  <c r="G147" i="15"/>
  <c r="E147" i="15"/>
  <c r="C147" i="15"/>
  <c r="I146" i="15"/>
  <c r="G146" i="15"/>
  <c r="E146" i="15"/>
  <c r="C146" i="15"/>
  <c r="I145" i="15"/>
  <c r="G145" i="15"/>
  <c r="E145" i="15"/>
  <c r="C145" i="15"/>
  <c r="I144" i="15"/>
  <c r="G144" i="15"/>
  <c r="E144" i="15"/>
  <c r="C144" i="15"/>
  <c r="I143" i="15"/>
  <c r="G143" i="15"/>
  <c r="E143" i="15"/>
  <c r="C143" i="15"/>
  <c r="I142" i="15"/>
  <c r="G142" i="15"/>
  <c r="E142" i="15"/>
  <c r="C142" i="15"/>
  <c r="I141" i="15"/>
  <c r="G141" i="15"/>
  <c r="E141" i="15"/>
  <c r="C141" i="15"/>
  <c r="I140" i="15"/>
  <c r="G140" i="15"/>
  <c r="E140" i="15"/>
  <c r="C140" i="15"/>
  <c r="I139" i="15"/>
  <c r="G139" i="15"/>
  <c r="E139" i="15"/>
  <c r="C139" i="15"/>
  <c r="I138" i="15"/>
  <c r="G138" i="15"/>
  <c r="E138" i="15"/>
  <c r="C138" i="15"/>
  <c r="I137" i="15"/>
  <c r="G137" i="15"/>
  <c r="E137" i="15"/>
  <c r="C137" i="15"/>
  <c r="I136" i="15"/>
  <c r="G136" i="15"/>
  <c r="E136" i="15"/>
  <c r="C136" i="15"/>
  <c r="I135" i="15"/>
  <c r="G135" i="15"/>
  <c r="E135" i="15"/>
  <c r="C135" i="15"/>
  <c r="I134" i="15"/>
  <c r="G134" i="15"/>
  <c r="E134" i="15"/>
  <c r="C134" i="15"/>
  <c r="I133" i="15"/>
  <c r="G133" i="15"/>
  <c r="E133" i="15"/>
  <c r="C133" i="15"/>
  <c r="I132" i="15"/>
  <c r="G132" i="15"/>
  <c r="E132" i="15"/>
  <c r="C132" i="15"/>
  <c r="I131" i="15"/>
  <c r="G131" i="15"/>
  <c r="E131" i="15"/>
  <c r="C131" i="15"/>
  <c r="I130" i="15"/>
  <c r="G130" i="15"/>
  <c r="E130" i="15"/>
  <c r="C130" i="15"/>
  <c r="I129" i="15"/>
  <c r="G129" i="15"/>
  <c r="E129" i="15"/>
  <c r="C129" i="15"/>
  <c r="I128" i="15"/>
  <c r="G128" i="15"/>
  <c r="E128" i="15"/>
  <c r="C128" i="15"/>
  <c r="I127" i="15"/>
  <c r="G127" i="15"/>
  <c r="E127" i="15"/>
  <c r="C127" i="15"/>
  <c r="I126" i="15"/>
  <c r="G126" i="15"/>
  <c r="E126" i="15"/>
  <c r="C126" i="15"/>
  <c r="I125" i="15"/>
  <c r="G125" i="15"/>
  <c r="E125" i="15"/>
  <c r="C125" i="15"/>
  <c r="I124" i="15"/>
  <c r="G124" i="15"/>
  <c r="E124" i="15"/>
  <c r="C124" i="15"/>
  <c r="I123" i="15"/>
  <c r="G123" i="15"/>
  <c r="E123" i="15"/>
  <c r="C123" i="15"/>
  <c r="I122" i="15"/>
  <c r="G122" i="15"/>
  <c r="E122" i="15"/>
  <c r="C122" i="15"/>
  <c r="I121" i="15"/>
  <c r="G121" i="15"/>
  <c r="E121" i="15"/>
  <c r="C121" i="15"/>
  <c r="I120" i="15"/>
  <c r="G120" i="15"/>
  <c r="E120" i="15"/>
  <c r="C120" i="15"/>
  <c r="I119" i="15"/>
  <c r="G119" i="15"/>
  <c r="E119" i="15"/>
  <c r="C119" i="15"/>
  <c r="I118" i="15"/>
  <c r="G118" i="15"/>
  <c r="E118" i="15"/>
  <c r="C118" i="15"/>
  <c r="I117" i="15"/>
  <c r="G117" i="15"/>
  <c r="E117" i="15"/>
  <c r="C117" i="15"/>
  <c r="I116" i="15"/>
  <c r="G116" i="15"/>
  <c r="E116" i="15"/>
  <c r="C116" i="15"/>
  <c r="I115" i="15"/>
  <c r="G115" i="15"/>
  <c r="E115" i="15"/>
  <c r="C115" i="15"/>
  <c r="I114" i="15"/>
  <c r="G114" i="15"/>
  <c r="E114" i="15"/>
  <c r="C114" i="15"/>
  <c r="I113" i="15"/>
  <c r="G113" i="15"/>
  <c r="E113" i="15"/>
  <c r="C113" i="15"/>
  <c r="I112" i="15"/>
  <c r="G112" i="15"/>
  <c r="E112" i="15"/>
  <c r="C112" i="15"/>
  <c r="I111" i="15"/>
  <c r="G111" i="15"/>
  <c r="E111" i="15"/>
  <c r="C111" i="15"/>
  <c r="I110" i="15"/>
  <c r="G110" i="15"/>
  <c r="E110" i="15"/>
  <c r="C110" i="15"/>
  <c r="I109" i="15"/>
  <c r="G109" i="15"/>
  <c r="E109" i="15"/>
  <c r="C109" i="15"/>
  <c r="I108" i="15"/>
  <c r="G108" i="15"/>
  <c r="E108" i="15"/>
  <c r="C108" i="15"/>
  <c r="I107" i="15"/>
  <c r="G107" i="15"/>
  <c r="E107" i="15"/>
  <c r="C107" i="15"/>
  <c r="I106" i="15"/>
  <c r="G106" i="15"/>
  <c r="E106" i="15"/>
  <c r="C106" i="15"/>
  <c r="I105" i="15"/>
  <c r="G105" i="15"/>
  <c r="E105" i="15"/>
  <c r="C105" i="15"/>
  <c r="I104" i="15"/>
  <c r="G104" i="15"/>
  <c r="E104" i="15"/>
  <c r="C104" i="15"/>
  <c r="I103" i="15"/>
  <c r="G103" i="15"/>
  <c r="E103" i="15"/>
  <c r="C103" i="15"/>
  <c r="I102" i="15"/>
  <c r="G102" i="15"/>
  <c r="E102" i="15"/>
  <c r="C102" i="15"/>
  <c r="I101" i="15"/>
  <c r="G101" i="15"/>
  <c r="E101" i="15"/>
  <c r="C101" i="15"/>
  <c r="I100" i="15"/>
  <c r="G100" i="15"/>
  <c r="E100" i="15"/>
  <c r="C100" i="15"/>
  <c r="I99" i="15"/>
  <c r="G99" i="15"/>
  <c r="E99" i="15"/>
  <c r="C99" i="15"/>
  <c r="I98" i="15"/>
  <c r="G98" i="15"/>
  <c r="E98" i="15"/>
  <c r="C98" i="15"/>
  <c r="I97" i="15"/>
  <c r="G97" i="15"/>
  <c r="E97" i="15"/>
  <c r="C97" i="15"/>
  <c r="I96" i="15"/>
  <c r="G96" i="15"/>
  <c r="E96" i="15"/>
  <c r="C96" i="15"/>
  <c r="I95" i="15"/>
  <c r="G95" i="15"/>
  <c r="E95" i="15"/>
  <c r="C95" i="15"/>
  <c r="I94" i="15"/>
  <c r="G94" i="15"/>
  <c r="E94" i="15"/>
  <c r="C94" i="15"/>
  <c r="I93" i="15"/>
  <c r="G93" i="15"/>
  <c r="E93" i="15"/>
  <c r="C93" i="15"/>
  <c r="I92" i="15"/>
  <c r="G92" i="15"/>
  <c r="E92" i="15"/>
  <c r="C92" i="15"/>
  <c r="I91" i="15"/>
  <c r="G91" i="15"/>
  <c r="E91" i="15"/>
  <c r="C91" i="15"/>
  <c r="I90" i="15"/>
  <c r="G90" i="15"/>
  <c r="E90" i="15"/>
  <c r="C90" i="15"/>
  <c r="I89" i="15"/>
  <c r="G89" i="15"/>
  <c r="E89" i="15"/>
  <c r="C89" i="15"/>
  <c r="I88" i="15"/>
  <c r="G88" i="15"/>
  <c r="E88" i="15"/>
  <c r="C88" i="15"/>
  <c r="I87" i="15"/>
  <c r="G87" i="15"/>
  <c r="E87" i="15"/>
  <c r="C87" i="15"/>
  <c r="I86" i="15"/>
  <c r="G86" i="15"/>
  <c r="E86" i="15"/>
  <c r="C86" i="15"/>
  <c r="I85" i="15"/>
  <c r="G85" i="15"/>
  <c r="E85" i="15"/>
  <c r="C85" i="15"/>
  <c r="I84" i="15"/>
  <c r="G84" i="15"/>
  <c r="E84" i="15"/>
  <c r="C84" i="15"/>
  <c r="I83" i="15"/>
  <c r="G83" i="15"/>
  <c r="E83" i="15"/>
  <c r="C83" i="15"/>
  <c r="I82" i="15"/>
  <c r="G82" i="15"/>
  <c r="E82" i="15"/>
  <c r="C82" i="15"/>
  <c r="I81" i="15"/>
  <c r="G81" i="15"/>
  <c r="E81" i="15"/>
  <c r="C81" i="15"/>
  <c r="I80" i="15"/>
  <c r="G80" i="15"/>
  <c r="E80" i="15"/>
  <c r="C80" i="15"/>
  <c r="I79" i="15"/>
  <c r="G79" i="15"/>
  <c r="E79" i="15"/>
  <c r="C79" i="15"/>
  <c r="I78" i="15"/>
  <c r="G78" i="15"/>
  <c r="E78" i="15"/>
  <c r="C78" i="15"/>
  <c r="I77" i="15"/>
  <c r="G77" i="15"/>
  <c r="E77" i="15"/>
  <c r="C77" i="15"/>
  <c r="I76" i="15"/>
  <c r="G76" i="15"/>
  <c r="E76" i="15"/>
  <c r="C76" i="15"/>
  <c r="I75" i="15"/>
  <c r="G75" i="15"/>
  <c r="E75" i="15"/>
  <c r="C75" i="15"/>
  <c r="I74" i="15"/>
  <c r="G74" i="15"/>
  <c r="E74" i="15"/>
  <c r="C74" i="15"/>
  <c r="I73" i="15"/>
  <c r="G73" i="15"/>
  <c r="E73" i="15"/>
  <c r="C73" i="15"/>
  <c r="I72" i="15"/>
  <c r="G72" i="15"/>
  <c r="E72" i="15"/>
  <c r="C72" i="15"/>
  <c r="I71" i="15"/>
  <c r="G71" i="15"/>
  <c r="E71" i="15"/>
  <c r="C71" i="15"/>
  <c r="I70" i="15"/>
  <c r="G70" i="15"/>
  <c r="E70" i="15"/>
  <c r="C70" i="15"/>
  <c r="I69" i="15"/>
  <c r="G69" i="15"/>
  <c r="E69" i="15"/>
  <c r="C69" i="15"/>
  <c r="I68" i="15"/>
  <c r="G68" i="15"/>
  <c r="E68" i="15"/>
  <c r="C68" i="15"/>
  <c r="I67" i="15"/>
  <c r="G67" i="15"/>
  <c r="E67" i="15"/>
  <c r="C67" i="15"/>
  <c r="I66" i="15"/>
  <c r="G66" i="15"/>
  <c r="E66" i="15"/>
  <c r="C66" i="15"/>
  <c r="I65" i="15"/>
  <c r="G65" i="15"/>
  <c r="E65" i="15"/>
  <c r="C65" i="15"/>
  <c r="I64" i="15"/>
  <c r="G64" i="15"/>
  <c r="E64" i="15"/>
  <c r="C64" i="15"/>
  <c r="I63" i="15"/>
  <c r="G63" i="15"/>
  <c r="E63" i="15"/>
  <c r="C63" i="15"/>
  <c r="I62" i="15"/>
  <c r="G62" i="15"/>
  <c r="E62" i="15"/>
  <c r="C62" i="15"/>
  <c r="I61" i="15"/>
  <c r="G61" i="15"/>
  <c r="E61" i="15"/>
  <c r="C61" i="15"/>
  <c r="I60" i="15"/>
  <c r="G60" i="15"/>
  <c r="E60" i="15"/>
  <c r="C60" i="15"/>
  <c r="I59" i="15"/>
  <c r="G59" i="15"/>
  <c r="E59" i="15"/>
  <c r="C59" i="15"/>
  <c r="I58" i="15"/>
  <c r="G58" i="15"/>
  <c r="E58" i="15"/>
  <c r="C58" i="15"/>
  <c r="I57" i="15"/>
  <c r="G57" i="15"/>
  <c r="E57" i="15"/>
  <c r="C57" i="15"/>
  <c r="I56" i="15"/>
  <c r="G56" i="15"/>
  <c r="E56" i="15"/>
  <c r="C56" i="15"/>
  <c r="I55" i="15"/>
  <c r="G55" i="15"/>
  <c r="E55" i="15"/>
  <c r="C55" i="15"/>
  <c r="I54" i="15"/>
  <c r="G54" i="15"/>
  <c r="E54" i="15"/>
  <c r="C54" i="15"/>
  <c r="I53" i="15"/>
  <c r="G53" i="15"/>
  <c r="E53" i="15"/>
  <c r="C53" i="15"/>
  <c r="I52" i="15"/>
  <c r="G52" i="15"/>
  <c r="E52" i="15"/>
  <c r="C52" i="15"/>
  <c r="I51" i="15"/>
  <c r="G51" i="15"/>
  <c r="E51" i="15"/>
  <c r="C51" i="15"/>
  <c r="I50" i="15"/>
  <c r="G50" i="15"/>
  <c r="E50" i="15"/>
  <c r="C50" i="15"/>
  <c r="I49" i="15"/>
  <c r="G49" i="15"/>
  <c r="E49" i="15"/>
  <c r="C49" i="15"/>
  <c r="I48" i="15"/>
  <c r="G48" i="15"/>
  <c r="E48" i="15"/>
  <c r="C48" i="15"/>
  <c r="I47" i="15"/>
  <c r="G47" i="15"/>
  <c r="E47" i="15"/>
  <c r="C47" i="15"/>
  <c r="I46" i="15"/>
  <c r="G46" i="15"/>
  <c r="E46" i="15"/>
  <c r="C46" i="15"/>
  <c r="I45" i="15"/>
  <c r="G45" i="15"/>
  <c r="E45" i="15"/>
  <c r="C45" i="15"/>
  <c r="I44" i="15"/>
  <c r="G44" i="15"/>
  <c r="E44" i="15"/>
  <c r="C44" i="15"/>
  <c r="I43" i="15"/>
  <c r="G43" i="15"/>
  <c r="E43" i="15"/>
  <c r="C43" i="15"/>
  <c r="I42" i="15"/>
  <c r="G42" i="15"/>
  <c r="E42" i="15"/>
  <c r="C42" i="15"/>
  <c r="I41" i="15"/>
  <c r="G41" i="15"/>
  <c r="E41" i="15"/>
  <c r="C41" i="15"/>
  <c r="I40" i="15"/>
  <c r="G40" i="15"/>
  <c r="E40" i="15"/>
  <c r="C40" i="15"/>
  <c r="I39" i="15"/>
  <c r="G39" i="15"/>
  <c r="E39" i="15"/>
  <c r="C39" i="15"/>
  <c r="I38" i="15"/>
  <c r="G38" i="15"/>
  <c r="E38" i="15"/>
  <c r="C38" i="15"/>
  <c r="I37" i="15"/>
  <c r="G37" i="15"/>
  <c r="E37" i="15"/>
  <c r="C37" i="15"/>
  <c r="I36" i="15"/>
  <c r="G36" i="15"/>
  <c r="E36" i="15"/>
  <c r="C36" i="15"/>
  <c r="I35" i="15"/>
  <c r="G35" i="15"/>
  <c r="E35" i="15"/>
  <c r="C35" i="15"/>
  <c r="I34" i="15"/>
  <c r="G34" i="15"/>
  <c r="E34" i="15"/>
  <c r="C34" i="15"/>
  <c r="I33" i="15"/>
  <c r="G33" i="15"/>
  <c r="E33" i="15"/>
  <c r="C33" i="15"/>
  <c r="I32" i="15"/>
  <c r="G32" i="15"/>
  <c r="E32" i="15"/>
  <c r="C32" i="15"/>
  <c r="I31" i="15"/>
  <c r="G31" i="15"/>
  <c r="E31" i="15"/>
  <c r="C31" i="15"/>
  <c r="I30" i="15"/>
  <c r="G30" i="15"/>
  <c r="E30" i="15"/>
  <c r="C30" i="15"/>
  <c r="I29" i="15"/>
  <c r="G29" i="15"/>
  <c r="E29" i="15"/>
  <c r="C29" i="15"/>
  <c r="S28" i="15"/>
  <c r="I28" i="15"/>
  <c r="G28" i="15"/>
  <c r="E28" i="15"/>
  <c r="C28" i="15"/>
  <c r="S27" i="15"/>
  <c r="I27" i="15"/>
  <c r="G27" i="15"/>
  <c r="E27" i="15"/>
  <c r="C27" i="15"/>
  <c r="I26" i="15"/>
  <c r="G26" i="15"/>
  <c r="E26" i="15"/>
  <c r="C26" i="15"/>
  <c r="I25" i="15"/>
  <c r="G25" i="15"/>
  <c r="E25" i="15"/>
  <c r="C25" i="15"/>
  <c r="I24" i="15"/>
  <c r="G24" i="15"/>
  <c r="E24" i="15"/>
  <c r="C24" i="15"/>
  <c r="T23" i="15"/>
  <c r="I23" i="15"/>
  <c r="G23" i="15"/>
  <c r="E23" i="15"/>
  <c r="C23" i="15"/>
  <c r="I22" i="15"/>
  <c r="G22" i="15"/>
  <c r="E22" i="15"/>
  <c r="C22" i="15"/>
  <c r="I21" i="15"/>
  <c r="G21" i="15"/>
  <c r="E21" i="15"/>
  <c r="C21" i="15"/>
  <c r="I20" i="15"/>
  <c r="G20" i="15"/>
  <c r="E20" i="15"/>
  <c r="C20" i="15"/>
  <c r="I19" i="15"/>
  <c r="G19" i="15"/>
  <c r="E19" i="15"/>
  <c r="C19" i="15"/>
  <c r="I18" i="15"/>
  <c r="G18" i="15"/>
  <c r="E18" i="15"/>
  <c r="C18" i="15"/>
  <c r="I17" i="15"/>
  <c r="G17" i="15"/>
  <c r="E17" i="15"/>
  <c r="C17" i="15"/>
  <c r="I16" i="15"/>
  <c r="G16" i="15"/>
  <c r="E16" i="15"/>
  <c r="C16" i="15"/>
  <c r="I15" i="15"/>
  <c r="G15" i="15"/>
  <c r="E15" i="15"/>
  <c r="C15" i="15"/>
  <c r="I14" i="15"/>
  <c r="G14" i="15"/>
  <c r="E14" i="15"/>
  <c r="C14" i="15"/>
  <c r="I13" i="15"/>
  <c r="G13" i="15"/>
  <c r="E13" i="15"/>
  <c r="C13" i="15"/>
  <c r="I12" i="15"/>
  <c r="G12" i="15"/>
  <c r="E12" i="15"/>
  <c r="C12" i="15"/>
  <c r="I11" i="15"/>
  <c r="G11" i="15"/>
  <c r="E11" i="15"/>
  <c r="C11" i="15"/>
  <c r="I10" i="15"/>
  <c r="G10" i="15"/>
  <c r="E10" i="15"/>
  <c r="C10" i="15"/>
  <c r="I9" i="15"/>
  <c r="G9" i="15"/>
  <c r="E9" i="15"/>
  <c r="C9" i="15"/>
  <c r="I8" i="15"/>
  <c r="G8" i="15"/>
  <c r="E8" i="15"/>
  <c r="C8" i="15"/>
  <c r="I7" i="15"/>
  <c r="G7" i="15"/>
  <c r="E7" i="15"/>
  <c r="C7" i="15"/>
  <c r="I6" i="15"/>
  <c r="G6" i="15"/>
  <c r="E6" i="15"/>
  <c r="C6" i="15"/>
  <c r="I5" i="15"/>
  <c r="G5" i="15"/>
  <c r="E5" i="15"/>
  <c r="C5" i="15"/>
  <c r="N34" i="15" a="1"/>
  <c r="N34" i="15"/>
  <c r="I4" i="15"/>
  <c r="G4" i="15"/>
  <c r="E4" i="15"/>
  <c r="C4" i="15"/>
  <c r="I3" i="15"/>
  <c r="G3" i="15"/>
  <c r="E3" i="15"/>
  <c r="C3" i="15"/>
  <c r="O17" i="14"/>
  <c r="O16" i="14"/>
  <c r="O15" i="14"/>
  <c r="O14" i="14"/>
  <c r="N17" i="14"/>
  <c r="N16" i="14"/>
  <c r="N15" i="14"/>
  <c r="N14" i="14"/>
  <c r="Q7" i="14"/>
  <c r="Q6" i="14"/>
  <c r="Q5" i="14"/>
  <c r="Q4" i="14"/>
  <c r="P7" i="14"/>
  <c r="P6" i="14"/>
  <c r="P5" i="14"/>
  <c r="P4" i="14"/>
  <c r="O7" i="14"/>
  <c r="O6" i="14"/>
  <c r="O5" i="14"/>
  <c r="O4" i="14"/>
  <c r="N7" i="14"/>
  <c r="N6" i="14"/>
  <c r="N5" i="14"/>
  <c r="N4" i="14"/>
  <c r="I362" i="14"/>
  <c r="G362" i="14"/>
  <c r="E362" i="14"/>
  <c r="C362" i="14"/>
  <c r="I361" i="14"/>
  <c r="G361" i="14"/>
  <c r="E361" i="14"/>
  <c r="C361" i="14"/>
  <c r="I360" i="14"/>
  <c r="G360" i="14"/>
  <c r="E360" i="14"/>
  <c r="C360" i="14"/>
  <c r="I359" i="14"/>
  <c r="G359" i="14"/>
  <c r="E359" i="14"/>
  <c r="C359" i="14"/>
  <c r="I358" i="14"/>
  <c r="G358" i="14"/>
  <c r="E358" i="14"/>
  <c r="C358" i="14"/>
  <c r="I357" i="14"/>
  <c r="G357" i="14"/>
  <c r="E357" i="14"/>
  <c r="C357" i="14"/>
  <c r="I356" i="14"/>
  <c r="G356" i="14"/>
  <c r="E356" i="14"/>
  <c r="C356" i="14"/>
  <c r="I355" i="14"/>
  <c r="G355" i="14"/>
  <c r="E355" i="14"/>
  <c r="C355" i="14"/>
  <c r="I354" i="14"/>
  <c r="G354" i="14"/>
  <c r="E354" i="14"/>
  <c r="C354" i="14"/>
  <c r="I353" i="14"/>
  <c r="G353" i="14"/>
  <c r="E353" i="14"/>
  <c r="C353" i="14"/>
  <c r="I352" i="14"/>
  <c r="G352" i="14"/>
  <c r="E352" i="14"/>
  <c r="C352" i="14"/>
  <c r="I351" i="14"/>
  <c r="G351" i="14"/>
  <c r="E351" i="14"/>
  <c r="C351" i="14"/>
  <c r="I350" i="14"/>
  <c r="G350" i="14"/>
  <c r="E350" i="14"/>
  <c r="C350" i="14"/>
  <c r="I349" i="14"/>
  <c r="G349" i="14"/>
  <c r="E349" i="14"/>
  <c r="C349" i="14"/>
  <c r="I348" i="14"/>
  <c r="G348" i="14"/>
  <c r="E348" i="14"/>
  <c r="C348" i="14"/>
  <c r="I347" i="14"/>
  <c r="G347" i="14"/>
  <c r="E347" i="14"/>
  <c r="C347" i="14"/>
  <c r="I346" i="14"/>
  <c r="G346" i="14"/>
  <c r="E346" i="14"/>
  <c r="C346" i="14"/>
  <c r="I345" i="14"/>
  <c r="G345" i="14"/>
  <c r="E345" i="14"/>
  <c r="C345" i="14"/>
  <c r="I344" i="14"/>
  <c r="G344" i="14"/>
  <c r="E344" i="14"/>
  <c r="C344" i="14"/>
  <c r="I343" i="14"/>
  <c r="G343" i="14"/>
  <c r="E343" i="14"/>
  <c r="C343" i="14"/>
  <c r="I342" i="14"/>
  <c r="G342" i="14"/>
  <c r="E342" i="14"/>
  <c r="C342" i="14"/>
  <c r="I341" i="14"/>
  <c r="G341" i="14"/>
  <c r="E341" i="14"/>
  <c r="C341" i="14"/>
  <c r="I340" i="14"/>
  <c r="G340" i="14"/>
  <c r="E340" i="14"/>
  <c r="C340" i="14"/>
  <c r="I339" i="14"/>
  <c r="G339" i="14"/>
  <c r="E339" i="14"/>
  <c r="C339" i="14"/>
  <c r="I338" i="14"/>
  <c r="G338" i="14"/>
  <c r="E338" i="14"/>
  <c r="C338" i="14"/>
  <c r="I337" i="14"/>
  <c r="G337" i="14"/>
  <c r="E337" i="14"/>
  <c r="C337" i="14"/>
  <c r="I336" i="14"/>
  <c r="G336" i="14"/>
  <c r="E336" i="14"/>
  <c r="C336" i="14"/>
  <c r="I335" i="14"/>
  <c r="G335" i="14"/>
  <c r="E335" i="14"/>
  <c r="C335" i="14"/>
  <c r="I334" i="14"/>
  <c r="G334" i="14"/>
  <c r="E334" i="14"/>
  <c r="C334" i="14"/>
  <c r="I333" i="14"/>
  <c r="G333" i="14"/>
  <c r="E333" i="14"/>
  <c r="C333" i="14"/>
  <c r="I332" i="14"/>
  <c r="G332" i="14"/>
  <c r="E332" i="14"/>
  <c r="C332" i="14"/>
  <c r="I331" i="14"/>
  <c r="G331" i="14"/>
  <c r="E331" i="14"/>
  <c r="C331" i="14"/>
  <c r="I330" i="14"/>
  <c r="G330" i="14"/>
  <c r="E330" i="14"/>
  <c r="C330" i="14"/>
  <c r="I329" i="14"/>
  <c r="G329" i="14"/>
  <c r="E329" i="14"/>
  <c r="C329" i="14"/>
  <c r="I328" i="14"/>
  <c r="G328" i="14"/>
  <c r="E328" i="14"/>
  <c r="C328" i="14"/>
  <c r="I327" i="14"/>
  <c r="G327" i="14"/>
  <c r="E327" i="14"/>
  <c r="C327" i="14"/>
  <c r="I326" i="14"/>
  <c r="G326" i="14"/>
  <c r="E326" i="14"/>
  <c r="C326" i="14"/>
  <c r="I325" i="14"/>
  <c r="G325" i="14"/>
  <c r="E325" i="14"/>
  <c r="C325" i="14"/>
  <c r="I324" i="14"/>
  <c r="G324" i="14"/>
  <c r="E324" i="14"/>
  <c r="C324" i="14"/>
  <c r="I323" i="14"/>
  <c r="G323" i="14"/>
  <c r="E323" i="14"/>
  <c r="C323" i="14"/>
  <c r="I322" i="14"/>
  <c r="G322" i="14"/>
  <c r="E322" i="14"/>
  <c r="C322" i="14"/>
  <c r="I321" i="14"/>
  <c r="G321" i="14"/>
  <c r="E321" i="14"/>
  <c r="C321" i="14"/>
  <c r="I320" i="14"/>
  <c r="G320" i="14"/>
  <c r="E320" i="14"/>
  <c r="C320" i="14"/>
  <c r="I319" i="14"/>
  <c r="G319" i="14"/>
  <c r="E319" i="14"/>
  <c r="C319" i="14"/>
  <c r="I318" i="14"/>
  <c r="G318" i="14"/>
  <c r="E318" i="14"/>
  <c r="C318" i="14"/>
  <c r="I317" i="14"/>
  <c r="G317" i="14"/>
  <c r="E317" i="14"/>
  <c r="C317" i="14"/>
  <c r="I316" i="14"/>
  <c r="G316" i="14"/>
  <c r="E316" i="14"/>
  <c r="C316" i="14"/>
  <c r="I315" i="14"/>
  <c r="G315" i="14"/>
  <c r="E315" i="14"/>
  <c r="C315" i="14"/>
  <c r="I314" i="14"/>
  <c r="G314" i="14"/>
  <c r="E314" i="14"/>
  <c r="C314" i="14"/>
  <c r="I313" i="14"/>
  <c r="G313" i="14"/>
  <c r="E313" i="14"/>
  <c r="C313" i="14"/>
  <c r="I312" i="14"/>
  <c r="G312" i="14"/>
  <c r="E312" i="14"/>
  <c r="C312" i="14"/>
  <c r="I311" i="14"/>
  <c r="G311" i="14"/>
  <c r="E311" i="14"/>
  <c r="C311" i="14"/>
  <c r="I310" i="14"/>
  <c r="G310" i="14"/>
  <c r="E310" i="14"/>
  <c r="C310" i="14"/>
  <c r="I309" i="14"/>
  <c r="G309" i="14"/>
  <c r="E309" i="14"/>
  <c r="C309" i="14"/>
  <c r="I308" i="14"/>
  <c r="G308" i="14"/>
  <c r="E308" i="14"/>
  <c r="C308" i="14"/>
  <c r="I307" i="14"/>
  <c r="G307" i="14"/>
  <c r="E307" i="14"/>
  <c r="C307" i="14"/>
  <c r="I306" i="14"/>
  <c r="G306" i="14"/>
  <c r="E306" i="14"/>
  <c r="C306" i="14"/>
  <c r="I305" i="14"/>
  <c r="G305" i="14"/>
  <c r="E305" i="14"/>
  <c r="C305" i="14"/>
  <c r="I304" i="14"/>
  <c r="G304" i="14"/>
  <c r="E304" i="14"/>
  <c r="C304" i="14"/>
  <c r="I303" i="14"/>
  <c r="G303" i="14"/>
  <c r="E303" i="14"/>
  <c r="C303" i="14"/>
  <c r="I302" i="14"/>
  <c r="G302" i="14"/>
  <c r="E302" i="14"/>
  <c r="C302" i="14"/>
  <c r="I301" i="14"/>
  <c r="G301" i="14"/>
  <c r="E301" i="14"/>
  <c r="C301" i="14"/>
  <c r="I300" i="14"/>
  <c r="G300" i="14"/>
  <c r="E300" i="14"/>
  <c r="C300" i="14"/>
  <c r="I299" i="14"/>
  <c r="G299" i="14"/>
  <c r="E299" i="14"/>
  <c r="C299" i="14"/>
  <c r="I298" i="14"/>
  <c r="G298" i="14"/>
  <c r="E298" i="14"/>
  <c r="C298" i="14"/>
  <c r="I297" i="14"/>
  <c r="G297" i="14"/>
  <c r="E297" i="14"/>
  <c r="C297" i="14"/>
  <c r="I296" i="14"/>
  <c r="G296" i="14"/>
  <c r="E296" i="14"/>
  <c r="C296" i="14"/>
  <c r="I295" i="14"/>
  <c r="G295" i="14"/>
  <c r="E295" i="14"/>
  <c r="C295" i="14"/>
  <c r="I294" i="14"/>
  <c r="G294" i="14"/>
  <c r="E294" i="14"/>
  <c r="C294" i="14"/>
  <c r="I293" i="14"/>
  <c r="G293" i="14"/>
  <c r="E293" i="14"/>
  <c r="C293" i="14"/>
  <c r="I292" i="14"/>
  <c r="G292" i="14"/>
  <c r="E292" i="14"/>
  <c r="C292" i="14"/>
  <c r="I291" i="14"/>
  <c r="G291" i="14"/>
  <c r="E291" i="14"/>
  <c r="C291" i="14"/>
  <c r="I290" i="14"/>
  <c r="G290" i="14"/>
  <c r="E290" i="14"/>
  <c r="C290" i="14"/>
  <c r="I289" i="14"/>
  <c r="G289" i="14"/>
  <c r="E289" i="14"/>
  <c r="C289" i="14"/>
  <c r="I288" i="14"/>
  <c r="G288" i="14"/>
  <c r="E288" i="14"/>
  <c r="C288" i="14"/>
  <c r="I287" i="14"/>
  <c r="G287" i="14"/>
  <c r="E287" i="14"/>
  <c r="C287" i="14"/>
  <c r="I286" i="14"/>
  <c r="G286" i="14"/>
  <c r="E286" i="14"/>
  <c r="C286" i="14"/>
  <c r="I285" i="14"/>
  <c r="G285" i="14"/>
  <c r="E285" i="14"/>
  <c r="C285" i="14"/>
  <c r="I284" i="14"/>
  <c r="G284" i="14"/>
  <c r="E284" i="14"/>
  <c r="C284" i="14"/>
  <c r="I283" i="14"/>
  <c r="G283" i="14"/>
  <c r="E283" i="14"/>
  <c r="C283" i="14"/>
  <c r="I282" i="14"/>
  <c r="G282" i="14"/>
  <c r="E282" i="14"/>
  <c r="C282" i="14"/>
  <c r="I281" i="14"/>
  <c r="G281" i="14"/>
  <c r="E281" i="14"/>
  <c r="C281" i="14"/>
  <c r="I280" i="14"/>
  <c r="G280" i="14"/>
  <c r="E280" i="14"/>
  <c r="C280" i="14"/>
  <c r="I279" i="14"/>
  <c r="G279" i="14"/>
  <c r="E279" i="14"/>
  <c r="C279" i="14"/>
  <c r="I278" i="14"/>
  <c r="G278" i="14"/>
  <c r="E278" i="14"/>
  <c r="C278" i="14"/>
  <c r="I277" i="14"/>
  <c r="G277" i="14"/>
  <c r="E277" i="14"/>
  <c r="C277" i="14"/>
  <c r="I276" i="14"/>
  <c r="G276" i="14"/>
  <c r="E276" i="14"/>
  <c r="C276" i="14"/>
  <c r="I275" i="14"/>
  <c r="G275" i="14"/>
  <c r="E275" i="14"/>
  <c r="C275" i="14"/>
  <c r="I274" i="14"/>
  <c r="G274" i="14"/>
  <c r="E274" i="14"/>
  <c r="C274" i="14"/>
  <c r="I273" i="14"/>
  <c r="G273" i="14"/>
  <c r="E273" i="14"/>
  <c r="C273" i="14"/>
  <c r="I272" i="14"/>
  <c r="G272" i="14"/>
  <c r="E272" i="14"/>
  <c r="C272" i="14"/>
  <c r="I271" i="14"/>
  <c r="G271" i="14"/>
  <c r="E271" i="14"/>
  <c r="C271" i="14"/>
  <c r="I270" i="14"/>
  <c r="G270" i="14"/>
  <c r="E270" i="14"/>
  <c r="C270" i="14"/>
  <c r="I269" i="14"/>
  <c r="G269" i="14"/>
  <c r="E269" i="14"/>
  <c r="C269" i="14"/>
  <c r="I268" i="14"/>
  <c r="G268" i="14"/>
  <c r="E268" i="14"/>
  <c r="C268" i="14"/>
  <c r="I267" i="14"/>
  <c r="G267" i="14"/>
  <c r="E267" i="14"/>
  <c r="C267" i="14"/>
  <c r="I266" i="14"/>
  <c r="G266" i="14"/>
  <c r="E266" i="14"/>
  <c r="C266" i="14"/>
  <c r="I265" i="14"/>
  <c r="G265" i="14"/>
  <c r="E265" i="14"/>
  <c r="C265" i="14"/>
  <c r="I264" i="14"/>
  <c r="G264" i="14"/>
  <c r="E264" i="14"/>
  <c r="C264" i="14"/>
  <c r="I263" i="14"/>
  <c r="G263" i="14"/>
  <c r="E263" i="14"/>
  <c r="C263" i="14"/>
  <c r="I262" i="14"/>
  <c r="G262" i="14"/>
  <c r="E262" i="14"/>
  <c r="C262" i="14"/>
  <c r="I261" i="14"/>
  <c r="G261" i="14"/>
  <c r="E261" i="14"/>
  <c r="C261" i="14"/>
  <c r="I260" i="14"/>
  <c r="G260" i="14"/>
  <c r="E260" i="14"/>
  <c r="C260" i="14"/>
  <c r="I259" i="14"/>
  <c r="G259" i="14"/>
  <c r="E259" i="14"/>
  <c r="C259" i="14"/>
  <c r="I258" i="14"/>
  <c r="G258" i="14"/>
  <c r="E258" i="14"/>
  <c r="C258" i="14"/>
  <c r="I257" i="14"/>
  <c r="G257" i="14"/>
  <c r="E257" i="14"/>
  <c r="C257" i="14"/>
  <c r="I256" i="14"/>
  <c r="G256" i="14"/>
  <c r="E256" i="14"/>
  <c r="C256" i="14"/>
  <c r="I255" i="14"/>
  <c r="G255" i="14"/>
  <c r="E255" i="14"/>
  <c r="C255" i="14"/>
  <c r="I254" i="14"/>
  <c r="G254" i="14"/>
  <c r="E254" i="14"/>
  <c r="C254" i="14"/>
  <c r="I253" i="14"/>
  <c r="G253" i="14"/>
  <c r="E253" i="14"/>
  <c r="C253" i="14"/>
  <c r="I252" i="14"/>
  <c r="G252" i="14"/>
  <c r="E252" i="14"/>
  <c r="C252" i="14"/>
  <c r="I251" i="14"/>
  <c r="G251" i="14"/>
  <c r="E251" i="14"/>
  <c r="C251" i="14"/>
  <c r="I250" i="14"/>
  <c r="G250" i="14"/>
  <c r="E250" i="14"/>
  <c r="C250" i="14"/>
  <c r="I249" i="14"/>
  <c r="G249" i="14"/>
  <c r="E249" i="14"/>
  <c r="C249" i="14"/>
  <c r="I248" i="14"/>
  <c r="G248" i="14"/>
  <c r="E248" i="14"/>
  <c r="C248" i="14"/>
  <c r="I247" i="14"/>
  <c r="G247" i="14"/>
  <c r="E247" i="14"/>
  <c r="C247" i="14"/>
  <c r="I246" i="14"/>
  <c r="G246" i="14"/>
  <c r="E246" i="14"/>
  <c r="C246" i="14"/>
  <c r="I245" i="14"/>
  <c r="G245" i="14"/>
  <c r="E245" i="14"/>
  <c r="C245" i="14"/>
  <c r="I244" i="14"/>
  <c r="G244" i="14"/>
  <c r="E244" i="14"/>
  <c r="C244" i="14"/>
  <c r="I243" i="14"/>
  <c r="G243" i="14"/>
  <c r="E243" i="14"/>
  <c r="C243" i="14"/>
  <c r="I242" i="14"/>
  <c r="G242" i="14"/>
  <c r="E242" i="14"/>
  <c r="C242" i="14"/>
  <c r="I241" i="14"/>
  <c r="G241" i="14"/>
  <c r="E241" i="14"/>
  <c r="C241" i="14"/>
  <c r="I240" i="14"/>
  <c r="G240" i="14"/>
  <c r="E240" i="14"/>
  <c r="C240" i="14"/>
  <c r="I239" i="14"/>
  <c r="G239" i="14"/>
  <c r="E239" i="14"/>
  <c r="C239" i="14"/>
  <c r="I238" i="14"/>
  <c r="G238" i="14"/>
  <c r="E238" i="14"/>
  <c r="C238" i="14"/>
  <c r="I237" i="14"/>
  <c r="G237" i="14"/>
  <c r="E237" i="14"/>
  <c r="C237" i="14"/>
  <c r="I236" i="14"/>
  <c r="G236" i="14"/>
  <c r="E236" i="14"/>
  <c r="C236" i="14"/>
  <c r="I235" i="14"/>
  <c r="G235" i="14"/>
  <c r="E235" i="14"/>
  <c r="C235" i="14"/>
  <c r="I234" i="14"/>
  <c r="G234" i="14"/>
  <c r="E234" i="14"/>
  <c r="C234" i="14"/>
  <c r="I233" i="14"/>
  <c r="G233" i="14"/>
  <c r="E233" i="14"/>
  <c r="C233" i="14"/>
  <c r="I232" i="14"/>
  <c r="G232" i="14"/>
  <c r="E232" i="14"/>
  <c r="C232" i="14"/>
  <c r="I231" i="14"/>
  <c r="G231" i="14"/>
  <c r="E231" i="14"/>
  <c r="C231" i="14"/>
  <c r="I230" i="14"/>
  <c r="G230" i="14"/>
  <c r="E230" i="14"/>
  <c r="C230" i="14"/>
  <c r="I229" i="14"/>
  <c r="G229" i="14"/>
  <c r="E229" i="14"/>
  <c r="C229" i="14"/>
  <c r="I228" i="14"/>
  <c r="G228" i="14"/>
  <c r="E228" i="14"/>
  <c r="C228" i="14"/>
  <c r="I227" i="14"/>
  <c r="G227" i="14"/>
  <c r="E227" i="14"/>
  <c r="C227" i="14"/>
  <c r="I226" i="14"/>
  <c r="G226" i="14"/>
  <c r="E226" i="14"/>
  <c r="C226" i="14"/>
  <c r="I225" i="14"/>
  <c r="G225" i="14"/>
  <c r="E225" i="14"/>
  <c r="C225" i="14"/>
  <c r="I224" i="14"/>
  <c r="G224" i="14"/>
  <c r="E224" i="14"/>
  <c r="C224" i="14"/>
  <c r="I223" i="14"/>
  <c r="G223" i="14"/>
  <c r="E223" i="14"/>
  <c r="C223" i="14"/>
  <c r="I222" i="14"/>
  <c r="G222" i="14"/>
  <c r="E222" i="14"/>
  <c r="C222" i="14"/>
  <c r="I221" i="14"/>
  <c r="G221" i="14"/>
  <c r="E221" i="14"/>
  <c r="C221" i="14"/>
  <c r="I220" i="14"/>
  <c r="G220" i="14"/>
  <c r="E220" i="14"/>
  <c r="C220" i="14"/>
  <c r="I219" i="14"/>
  <c r="G219" i="14"/>
  <c r="E219" i="14"/>
  <c r="C219" i="14"/>
  <c r="I218" i="14"/>
  <c r="G218" i="14"/>
  <c r="E218" i="14"/>
  <c r="C218" i="14"/>
  <c r="I217" i="14"/>
  <c r="G217" i="14"/>
  <c r="E217" i="14"/>
  <c r="C217" i="14"/>
  <c r="I216" i="14"/>
  <c r="G216" i="14"/>
  <c r="E216" i="14"/>
  <c r="C216" i="14"/>
  <c r="I215" i="14"/>
  <c r="G215" i="14"/>
  <c r="E215" i="14"/>
  <c r="C215" i="14"/>
  <c r="I214" i="14"/>
  <c r="G214" i="14"/>
  <c r="E214" i="14"/>
  <c r="C214" i="14"/>
  <c r="I213" i="14"/>
  <c r="G213" i="14"/>
  <c r="E213" i="14"/>
  <c r="C213" i="14"/>
  <c r="I212" i="14"/>
  <c r="G212" i="14"/>
  <c r="E212" i="14"/>
  <c r="C212" i="14"/>
  <c r="I211" i="14"/>
  <c r="G211" i="14"/>
  <c r="E211" i="14"/>
  <c r="C211" i="14"/>
  <c r="I210" i="14"/>
  <c r="G210" i="14"/>
  <c r="E210" i="14"/>
  <c r="C210" i="14"/>
  <c r="I209" i="14"/>
  <c r="G209" i="14"/>
  <c r="E209" i="14"/>
  <c r="C209" i="14"/>
  <c r="I208" i="14"/>
  <c r="G208" i="14"/>
  <c r="E208" i="14"/>
  <c r="C208" i="14"/>
  <c r="I207" i="14"/>
  <c r="G207" i="14"/>
  <c r="E207" i="14"/>
  <c r="C207" i="14"/>
  <c r="I206" i="14"/>
  <c r="G206" i="14"/>
  <c r="E206" i="14"/>
  <c r="C206" i="14"/>
  <c r="I205" i="14"/>
  <c r="G205" i="14"/>
  <c r="E205" i="14"/>
  <c r="C205" i="14"/>
  <c r="I204" i="14"/>
  <c r="G204" i="14"/>
  <c r="E204" i="14"/>
  <c r="C204" i="14"/>
  <c r="I203" i="14"/>
  <c r="G203" i="14"/>
  <c r="E203" i="14"/>
  <c r="C203" i="14"/>
  <c r="I202" i="14"/>
  <c r="G202" i="14"/>
  <c r="E202" i="14"/>
  <c r="C202" i="14"/>
  <c r="I201" i="14"/>
  <c r="G201" i="14"/>
  <c r="E201" i="14"/>
  <c r="C201" i="14"/>
  <c r="I200" i="14"/>
  <c r="G200" i="14"/>
  <c r="E200" i="14"/>
  <c r="C200" i="14"/>
  <c r="I199" i="14"/>
  <c r="G199" i="14"/>
  <c r="E199" i="14"/>
  <c r="C199" i="14"/>
  <c r="I198" i="14"/>
  <c r="G198" i="14"/>
  <c r="E198" i="14"/>
  <c r="C198" i="14"/>
  <c r="I197" i="14"/>
  <c r="G197" i="14"/>
  <c r="E197" i="14"/>
  <c r="C197" i="14"/>
  <c r="I196" i="14"/>
  <c r="G196" i="14"/>
  <c r="E196" i="14"/>
  <c r="C196" i="14"/>
  <c r="I195" i="14"/>
  <c r="G195" i="14"/>
  <c r="E195" i="14"/>
  <c r="C195" i="14"/>
  <c r="I194" i="14"/>
  <c r="G194" i="14"/>
  <c r="E194" i="14"/>
  <c r="C194" i="14"/>
  <c r="I193" i="14"/>
  <c r="G193" i="14"/>
  <c r="E193" i="14"/>
  <c r="C193" i="14"/>
  <c r="I192" i="14"/>
  <c r="G192" i="14"/>
  <c r="E192" i="14"/>
  <c r="C192" i="14"/>
  <c r="I191" i="14"/>
  <c r="G191" i="14"/>
  <c r="E191" i="14"/>
  <c r="C191" i="14"/>
  <c r="I190" i="14"/>
  <c r="G190" i="14"/>
  <c r="E190" i="14"/>
  <c r="C190" i="14"/>
  <c r="I189" i="14"/>
  <c r="G189" i="14"/>
  <c r="E189" i="14"/>
  <c r="C189" i="14"/>
  <c r="I188" i="14"/>
  <c r="G188" i="14"/>
  <c r="E188" i="14"/>
  <c r="C188" i="14"/>
  <c r="I187" i="14"/>
  <c r="G187" i="14"/>
  <c r="E187" i="14"/>
  <c r="C187" i="14"/>
  <c r="I186" i="14"/>
  <c r="G186" i="14"/>
  <c r="E186" i="14"/>
  <c r="C186" i="14"/>
  <c r="I185" i="14"/>
  <c r="G185" i="14"/>
  <c r="E185" i="14"/>
  <c r="C185" i="14"/>
  <c r="I184" i="14"/>
  <c r="G184" i="14"/>
  <c r="E184" i="14"/>
  <c r="C184" i="14"/>
  <c r="I183" i="14"/>
  <c r="G183" i="14"/>
  <c r="E183" i="14"/>
  <c r="C183" i="14"/>
  <c r="I182" i="14"/>
  <c r="G182" i="14"/>
  <c r="E182" i="14"/>
  <c r="C182" i="14"/>
  <c r="I181" i="14"/>
  <c r="G181" i="14"/>
  <c r="E181" i="14"/>
  <c r="C181" i="14"/>
  <c r="I180" i="14"/>
  <c r="G180" i="14"/>
  <c r="E180" i="14"/>
  <c r="C180" i="14"/>
  <c r="I179" i="14"/>
  <c r="G179" i="14"/>
  <c r="E179" i="14"/>
  <c r="C179" i="14"/>
  <c r="I178" i="14"/>
  <c r="G178" i="14"/>
  <c r="E178" i="14"/>
  <c r="C178" i="14"/>
  <c r="I177" i="14"/>
  <c r="G177" i="14"/>
  <c r="E177" i="14"/>
  <c r="C177" i="14"/>
  <c r="I176" i="14"/>
  <c r="G176" i="14"/>
  <c r="E176" i="14"/>
  <c r="C176" i="14"/>
  <c r="I175" i="14"/>
  <c r="G175" i="14"/>
  <c r="E175" i="14"/>
  <c r="C175" i="14"/>
  <c r="I174" i="14"/>
  <c r="G174" i="14"/>
  <c r="E174" i="14"/>
  <c r="C174" i="14"/>
  <c r="I173" i="14"/>
  <c r="G173" i="14"/>
  <c r="E173" i="14"/>
  <c r="C173" i="14"/>
  <c r="I172" i="14"/>
  <c r="G172" i="14"/>
  <c r="E172" i="14"/>
  <c r="C172" i="14"/>
  <c r="I171" i="14"/>
  <c r="G171" i="14"/>
  <c r="E171" i="14"/>
  <c r="C171" i="14"/>
  <c r="I170" i="14"/>
  <c r="G170" i="14"/>
  <c r="E170" i="14"/>
  <c r="C170" i="14"/>
  <c r="I169" i="14"/>
  <c r="G169" i="14"/>
  <c r="E169" i="14"/>
  <c r="C169" i="14"/>
  <c r="I168" i="14"/>
  <c r="G168" i="14"/>
  <c r="E168" i="14"/>
  <c r="C168" i="14"/>
  <c r="I167" i="14"/>
  <c r="G167" i="14"/>
  <c r="E167" i="14"/>
  <c r="C167" i="14"/>
  <c r="I166" i="14"/>
  <c r="G166" i="14"/>
  <c r="E166" i="14"/>
  <c r="C166" i="14"/>
  <c r="I165" i="14"/>
  <c r="G165" i="14"/>
  <c r="E165" i="14"/>
  <c r="C165" i="14"/>
  <c r="I164" i="14"/>
  <c r="G164" i="14"/>
  <c r="E164" i="14"/>
  <c r="C164" i="14"/>
  <c r="I163" i="14"/>
  <c r="G163" i="14"/>
  <c r="E163" i="14"/>
  <c r="C163" i="14"/>
  <c r="I162" i="14"/>
  <c r="G162" i="14"/>
  <c r="E162" i="14"/>
  <c r="C162" i="14"/>
  <c r="I161" i="14"/>
  <c r="G161" i="14"/>
  <c r="E161" i="14"/>
  <c r="C161" i="14"/>
  <c r="I160" i="14"/>
  <c r="G160" i="14"/>
  <c r="E160" i="14"/>
  <c r="C160" i="14"/>
  <c r="I159" i="14"/>
  <c r="G159" i="14"/>
  <c r="E159" i="14"/>
  <c r="C159" i="14"/>
  <c r="I158" i="14"/>
  <c r="G158" i="14"/>
  <c r="E158" i="14"/>
  <c r="C158" i="14"/>
  <c r="I157" i="14"/>
  <c r="G157" i="14"/>
  <c r="E157" i="14"/>
  <c r="C157" i="14"/>
  <c r="I156" i="14"/>
  <c r="G156" i="14"/>
  <c r="E156" i="14"/>
  <c r="C156" i="14"/>
  <c r="I155" i="14"/>
  <c r="G155" i="14"/>
  <c r="E155" i="14"/>
  <c r="C155" i="14"/>
  <c r="I154" i="14"/>
  <c r="G154" i="14"/>
  <c r="E154" i="14"/>
  <c r="C154" i="14"/>
  <c r="I153" i="14"/>
  <c r="G153" i="14"/>
  <c r="E153" i="14"/>
  <c r="C153" i="14"/>
  <c r="I152" i="14"/>
  <c r="G152" i="14"/>
  <c r="E152" i="14"/>
  <c r="C152" i="14"/>
  <c r="I151" i="14"/>
  <c r="G151" i="14"/>
  <c r="E151" i="14"/>
  <c r="C151" i="14"/>
  <c r="I150" i="14"/>
  <c r="G150" i="14"/>
  <c r="E150" i="14"/>
  <c r="C150" i="14"/>
  <c r="I149" i="14"/>
  <c r="G149" i="14"/>
  <c r="E149" i="14"/>
  <c r="C149" i="14"/>
  <c r="I148" i="14"/>
  <c r="G148" i="14"/>
  <c r="E148" i="14"/>
  <c r="C148" i="14"/>
  <c r="I147" i="14"/>
  <c r="G147" i="14"/>
  <c r="E147" i="14"/>
  <c r="C147" i="14"/>
  <c r="I146" i="14"/>
  <c r="G146" i="14"/>
  <c r="E146" i="14"/>
  <c r="C146" i="14"/>
  <c r="I145" i="14"/>
  <c r="G145" i="14"/>
  <c r="E145" i="14"/>
  <c r="C145" i="14"/>
  <c r="I144" i="14"/>
  <c r="G144" i="14"/>
  <c r="E144" i="14"/>
  <c r="C144" i="14"/>
  <c r="I143" i="14"/>
  <c r="G143" i="14"/>
  <c r="E143" i="14"/>
  <c r="C143" i="14"/>
  <c r="I142" i="14"/>
  <c r="G142" i="14"/>
  <c r="E142" i="14"/>
  <c r="C142" i="14"/>
  <c r="I141" i="14"/>
  <c r="G141" i="14"/>
  <c r="E141" i="14"/>
  <c r="C141" i="14"/>
  <c r="I140" i="14"/>
  <c r="G140" i="14"/>
  <c r="E140" i="14"/>
  <c r="C140" i="14"/>
  <c r="I139" i="14"/>
  <c r="G139" i="14"/>
  <c r="E139" i="14"/>
  <c r="C139" i="14"/>
  <c r="I138" i="14"/>
  <c r="G138" i="14"/>
  <c r="E138" i="14"/>
  <c r="C138" i="14"/>
  <c r="I137" i="14"/>
  <c r="G137" i="14"/>
  <c r="E137" i="14"/>
  <c r="C137" i="14"/>
  <c r="I136" i="14"/>
  <c r="G136" i="14"/>
  <c r="E136" i="14"/>
  <c r="C136" i="14"/>
  <c r="I135" i="14"/>
  <c r="G135" i="14"/>
  <c r="E135" i="14"/>
  <c r="C135" i="14"/>
  <c r="I134" i="14"/>
  <c r="G134" i="14"/>
  <c r="E134" i="14"/>
  <c r="C134" i="14"/>
  <c r="I133" i="14"/>
  <c r="G133" i="14"/>
  <c r="E133" i="14"/>
  <c r="C133" i="14"/>
  <c r="I132" i="14"/>
  <c r="G132" i="14"/>
  <c r="E132" i="14"/>
  <c r="C132" i="14"/>
  <c r="I131" i="14"/>
  <c r="G131" i="14"/>
  <c r="E131" i="14"/>
  <c r="C131" i="14"/>
  <c r="I130" i="14"/>
  <c r="G130" i="14"/>
  <c r="E130" i="14"/>
  <c r="C130" i="14"/>
  <c r="I129" i="14"/>
  <c r="G129" i="14"/>
  <c r="E129" i="14"/>
  <c r="C129" i="14"/>
  <c r="I128" i="14"/>
  <c r="G128" i="14"/>
  <c r="E128" i="14"/>
  <c r="C128" i="14"/>
  <c r="I127" i="14"/>
  <c r="G127" i="14"/>
  <c r="E127" i="14"/>
  <c r="C127" i="14"/>
  <c r="I126" i="14"/>
  <c r="G126" i="14"/>
  <c r="E126" i="14"/>
  <c r="C126" i="14"/>
  <c r="I125" i="14"/>
  <c r="G125" i="14"/>
  <c r="E125" i="14"/>
  <c r="C125" i="14"/>
  <c r="I124" i="14"/>
  <c r="G124" i="14"/>
  <c r="E124" i="14"/>
  <c r="C124" i="14"/>
  <c r="I123" i="14"/>
  <c r="G123" i="14"/>
  <c r="E123" i="14"/>
  <c r="C123" i="14"/>
  <c r="I122" i="14"/>
  <c r="G122" i="14"/>
  <c r="E122" i="14"/>
  <c r="C122" i="14"/>
  <c r="I121" i="14"/>
  <c r="G121" i="14"/>
  <c r="E121" i="14"/>
  <c r="C121" i="14"/>
  <c r="I120" i="14"/>
  <c r="G120" i="14"/>
  <c r="E120" i="14"/>
  <c r="C120" i="14"/>
  <c r="I119" i="14"/>
  <c r="G119" i="14"/>
  <c r="E119" i="14"/>
  <c r="C119" i="14"/>
  <c r="I118" i="14"/>
  <c r="G118" i="14"/>
  <c r="E118" i="14"/>
  <c r="C118" i="14"/>
  <c r="I117" i="14"/>
  <c r="G117" i="14"/>
  <c r="E117" i="14"/>
  <c r="C117" i="14"/>
  <c r="I116" i="14"/>
  <c r="G116" i="14"/>
  <c r="E116" i="14"/>
  <c r="C116" i="14"/>
  <c r="I115" i="14"/>
  <c r="G115" i="14"/>
  <c r="E115" i="14"/>
  <c r="C115" i="14"/>
  <c r="I114" i="14"/>
  <c r="G114" i="14"/>
  <c r="E114" i="14"/>
  <c r="C114" i="14"/>
  <c r="I113" i="14"/>
  <c r="G113" i="14"/>
  <c r="E113" i="14"/>
  <c r="C113" i="14"/>
  <c r="I112" i="14"/>
  <c r="G112" i="14"/>
  <c r="E112" i="14"/>
  <c r="C112" i="14"/>
  <c r="I111" i="14"/>
  <c r="G111" i="14"/>
  <c r="E111" i="14"/>
  <c r="C111" i="14"/>
  <c r="I110" i="14"/>
  <c r="G110" i="14"/>
  <c r="E110" i="14"/>
  <c r="C110" i="14"/>
  <c r="I109" i="14"/>
  <c r="G109" i="14"/>
  <c r="E109" i="14"/>
  <c r="C109" i="14"/>
  <c r="I108" i="14"/>
  <c r="G108" i="14"/>
  <c r="E108" i="14"/>
  <c r="C108" i="14"/>
  <c r="I107" i="14"/>
  <c r="G107" i="14"/>
  <c r="E107" i="14"/>
  <c r="C107" i="14"/>
  <c r="I106" i="14"/>
  <c r="G106" i="14"/>
  <c r="E106" i="14"/>
  <c r="C106" i="14"/>
  <c r="I105" i="14"/>
  <c r="G105" i="14"/>
  <c r="E105" i="14"/>
  <c r="C105" i="14"/>
  <c r="I104" i="14"/>
  <c r="G104" i="14"/>
  <c r="E104" i="14"/>
  <c r="C104" i="14"/>
  <c r="I103" i="14"/>
  <c r="G103" i="14"/>
  <c r="E103" i="14"/>
  <c r="C103" i="14"/>
  <c r="I102" i="14"/>
  <c r="G102" i="14"/>
  <c r="E102" i="14"/>
  <c r="C102" i="14"/>
  <c r="I101" i="14"/>
  <c r="G101" i="14"/>
  <c r="E101" i="14"/>
  <c r="C101" i="14"/>
  <c r="I100" i="14"/>
  <c r="G100" i="14"/>
  <c r="E100" i="14"/>
  <c r="C100" i="14"/>
  <c r="I99" i="14"/>
  <c r="G99" i="14"/>
  <c r="E99" i="14"/>
  <c r="C99" i="14"/>
  <c r="I98" i="14"/>
  <c r="G98" i="14"/>
  <c r="E98" i="14"/>
  <c r="C98" i="14"/>
  <c r="I97" i="14"/>
  <c r="G97" i="14"/>
  <c r="E97" i="14"/>
  <c r="C97" i="14"/>
  <c r="I96" i="14"/>
  <c r="G96" i="14"/>
  <c r="E96" i="14"/>
  <c r="C96" i="14"/>
  <c r="I95" i="14"/>
  <c r="G95" i="14"/>
  <c r="E95" i="14"/>
  <c r="C95" i="14"/>
  <c r="I94" i="14"/>
  <c r="G94" i="14"/>
  <c r="E94" i="14"/>
  <c r="C94" i="14"/>
  <c r="I93" i="14"/>
  <c r="G93" i="14"/>
  <c r="E93" i="14"/>
  <c r="C93" i="14"/>
  <c r="I92" i="14"/>
  <c r="G92" i="14"/>
  <c r="E92" i="14"/>
  <c r="C92" i="14"/>
  <c r="I91" i="14"/>
  <c r="G91" i="14"/>
  <c r="E91" i="14"/>
  <c r="C91" i="14"/>
  <c r="I90" i="14"/>
  <c r="G90" i="14"/>
  <c r="E90" i="14"/>
  <c r="C90" i="14"/>
  <c r="I89" i="14"/>
  <c r="G89" i="14"/>
  <c r="E89" i="14"/>
  <c r="C89" i="14"/>
  <c r="I88" i="14"/>
  <c r="G88" i="14"/>
  <c r="E88" i="14"/>
  <c r="C88" i="14"/>
  <c r="I87" i="14"/>
  <c r="G87" i="14"/>
  <c r="E87" i="14"/>
  <c r="C87" i="14"/>
  <c r="I86" i="14"/>
  <c r="G86" i="14"/>
  <c r="E86" i="14"/>
  <c r="C86" i="14"/>
  <c r="I85" i="14"/>
  <c r="G85" i="14"/>
  <c r="E85" i="14"/>
  <c r="C85" i="14"/>
  <c r="I84" i="14"/>
  <c r="G84" i="14"/>
  <c r="E84" i="14"/>
  <c r="C84" i="14"/>
  <c r="I83" i="14"/>
  <c r="G83" i="14"/>
  <c r="E83" i="14"/>
  <c r="C83" i="14"/>
  <c r="I82" i="14"/>
  <c r="G82" i="14"/>
  <c r="E82" i="14"/>
  <c r="C82" i="14"/>
  <c r="I81" i="14"/>
  <c r="G81" i="14"/>
  <c r="E81" i="14"/>
  <c r="C81" i="14"/>
  <c r="I80" i="14"/>
  <c r="G80" i="14"/>
  <c r="E80" i="14"/>
  <c r="C80" i="14"/>
  <c r="I79" i="14"/>
  <c r="G79" i="14"/>
  <c r="E79" i="14"/>
  <c r="C79" i="14"/>
  <c r="I78" i="14"/>
  <c r="G78" i="14"/>
  <c r="E78" i="14"/>
  <c r="C78" i="14"/>
  <c r="I77" i="14"/>
  <c r="G77" i="14"/>
  <c r="E77" i="14"/>
  <c r="C77" i="14"/>
  <c r="I76" i="14"/>
  <c r="G76" i="14"/>
  <c r="E76" i="14"/>
  <c r="C76" i="14"/>
  <c r="I75" i="14"/>
  <c r="G75" i="14"/>
  <c r="E75" i="14"/>
  <c r="C75" i="14"/>
  <c r="I74" i="14"/>
  <c r="G74" i="14"/>
  <c r="E74" i="14"/>
  <c r="C74" i="14"/>
  <c r="I73" i="14"/>
  <c r="G73" i="14"/>
  <c r="E73" i="14"/>
  <c r="C73" i="14"/>
  <c r="I72" i="14"/>
  <c r="G72" i="14"/>
  <c r="E72" i="14"/>
  <c r="C72" i="14"/>
  <c r="I71" i="14"/>
  <c r="G71" i="14"/>
  <c r="E71" i="14"/>
  <c r="C71" i="14"/>
  <c r="I70" i="14"/>
  <c r="G70" i="14"/>
  <c r="E70" i="14"/>
  <c r="C70" i="14"/>
  <c r="I69" i="14"/>
  <c r="G69" i="14"/>
  <c r="E69" i="14"/>
  <c r="C69" i="14"/>
  <c r="I68" i="14"/>
  <c r="G68" i="14"/>
  <c r="E68" i="14"/>
  <c r="C68" i="14"/>
  <c r="I67" i="14"/>
  <c r="G67" i="14"/>
  <c r="E67" i="14"/>
  <c r="C67" i="14"/>
  <c r="I66" i="14"/>
  <c r="G66" i="14"/>
  <c r="E66" i="14"/>
  <c r="C66" i="14"/>
  <c r="I65" i="14"/>
  <c r="G65" i="14"/>
  <c r="E65" i="14"/>
  <c r="C65" i="14"/>
  <c r="I64" i="14"/>
  <c r="G64" i="14"/>
  <c r="E64" i="14"/>
  <c r="C64" i="14"/>
  <c r="I63" i="14"/>
  <c r="G63" i="14"/>
  <c r="E63" i="14"/>
  <c r="C63" i="14"/>
  <c r="I62" i="14"/>
  <c r="G62" i="14"/>
  <c r="E62" i="14"/>
  <c r="C62" i="14"/>
  <c r="I61" i="14"/>
  <c r="G61" i="14"/>
  <c r="E61" i="14"/>
  <c r="C61" i="14"/>
  <c r="I60" i="14"/>
  <c r="G60" i="14"/>
  <c r="E60" i="14"/>
  <c r="C60" i="14"/>
  <c r="I59" i="14"/>
  <c r="G59" i="14"/>
  <c r="E59" i="14"/>
  <c r="C59" i="14"/>
  <c r="I58" i="14"/>
  <c r="G58" i="14"/>
  <c r="E58" i="14"/>
  <c r="C58" i="14"/>
  <c r="I57" i="14"/>
  <c r="G57" i="14"/>
  <c r="E57" i="14"/>
  <c r="C57" i="14"/>
  <c r="I56" i="14"/>
  <c r="G56" i="14"/>
  <c r="E56" i="14"/>
  <c r="C56" i="14"/>
  <c r="I55" i="14"/>
  <c r="G55" i="14"/>
  <c r="E55" i="14"/>
  <c r="C55" i="14"/>
  <c r="I54" i="14"/>
  <c r="G54" i="14"/>
  <c r="E54" i="14"/>
  <c r="C54" i="14"/>
  <c r="I53" i="14"/>
  <c r="G53" i="14"/>
  <c r="E53" i="14"/>
  <c r="C53" i="14"/>
  <c r="I52" i="14"/>
  <c r="G52" i="14"/>
  <c r="E52" i="14"/>
  <c r="C52" i="14"/>
  <c r="I51" i="14"/>
  <c r="G51" i="14"/>
  <c r="E51" i="14"/>
  <c r="C51" i="14"/>
  <c r="I50" i="14"/>
  <c r="G50" i="14"/>
  <c r="E50" i="14"/>
  <c r="C50" i="14"/>
  <c r="I49" i="14"/>
  <c r="G49" i="14"/>
  <c r="E49" i="14"/>
  <c r="C49" i="14"/>
  <c r="I48" i="14"/>
  <c r="G48" i="14"/>
  <c r="E48" i="14"/>
  <c r="C48" i="14"/>
  <c r="I47" i="14"/>
  <c r="G47" i="14"/>
  <c r="E47" i="14"/>
  <c r="C47" i="14"/>
  <c r="I46" i="14"/>
  <c r="G46" i="14"/>
  <c r="E46" i="14"/>
  <c r="C46" i="14"/>
  <c r="I45" i="14"/>
  <c r="G45" i="14"/>
  <c r="E45" i="14"/>
  <c r="C45" i="14"/>
  <c r="I44" i="14"/>
  <c r="G44" i="14"/>
  <c r="E44" i="14"/>
  <c r="C44" i="14"/>
  <c r="I43" i="14"/>
  <c r="G43" i="14"/>
  <c r="E43" i="14"/>
  <c r="C43" i="14"/>
  <c r="I42" i="14"/>
  <c r="G42" i="14"/>
  <c r="E42" i="14"/>
  <c r="C42" i="14"/>
  <c r="I41" i="14"/>
  <c r="G41" i="14"/>
  <c r="E41" i="14"/>
  <c r="C41" i="14"/>
  <c r="I40" i="14"/>
  <c r="G40" i="14"/>
  <c r="E40" i="14"/>
  <c r="C40" i="14"/>
  <c r="I39" i="14"/>
  <c r="G39" i="14"/>
  <c r="E39" i="14"/>
  <c r="C39" i="14"/>
  <c r="I38" i="14"/>
  <c r="G38" i="14"/>
  <c r="E38" i="14"/>
  <c r="C38" i="14"/>
  <c r="I37" i="14"/>
  <c r="G37" i="14"/>
  <c r="E37" i="14"/>
  <c r="C37" i="14"/>
  <c r="I36" i="14"/>
  <c r="G36" i="14"/>
  <c r="E36" i="14"/>
  <c r="C36" i="14"/>
  <c r="I35" i="14"/>
  <c r="G35" i="14"/>
  <c r="E35" i="14"/>
  <c r="C35" i="14"/>
  <c r="I34" i="14"/>
  <c r="G34" i="14"/>
  <c r="E34" i="14"/>
  <c r="C34" i="14"/>
  <c r="I33" i="14"/>
  <c r="G33" i="14"/>
  <c r="E33" i="14"/>
  <c r="C33" i="14"/>
  <c r="I32" i="14"/>
  <c r="G32" i="14"/>
  <c r="E32" i="14"/>
  <c r="C32" i="14"/>
  <c r="I31" i="14"/>
  <c r="G31" i="14"/>
  <c r="E31" i="14"/>
  <c r="C31" i="14"/>
  <c r="I30" i="14"/>
  <c r="G30" i="14"/>
  <c r="E30" i="14"/>
  <c r="C30" i="14"/>
  <c r="I29" i="14"/>
  <c r="G29" i="14"/>
  <c r="E29" i="14"/>
  <c r="C29" i="14"/>
  <c r="S28" i="14"/>
  <c r="I28" i="14"/>
  <c r="G28" i="14"/>
  <c r="E28" i="14"/>
  <c r="C28" i="14"/>
  <c r="S27" i="14"/>
  <c r="I27" i="14"/>
  <c r="G27" i="14"/>
  <c r="E27" i="14"/>
  <c r="C27" i="14"/>
  <c r="I26" i="14"/>
  <c r="G26" i="14"/>
  <c r="E26" i="14"/>
  <c r="C26" i="14"/>
  <c r="I25" i="14"/>
  <c r="G25" i="14"/>
  <c r="E25" i="14"/>
  <c r="C25" i="14"/>
  <c r="I24" i="14"/>
  <c r="G24" i="14"/>
  <c r="E24" i="14"/>
  <c r="C24" i="14"/>
  <c r="T23" i="14"/>
  <c r="I23" i="14"/>
  <c r="G23" i="14"/>
  <c r="E23" i="14"/>
  <c r="C23" i="14"/>
  <c r="I22" i="14"/>
  <c r="G22" i="14"/>
  <c r="E22" i="14"/>
  <c r="C22" i="14"/>
  <c r="I21" i="14"/>
  <c r="G21" i="14"/>
  <c r="E21" i="14"/>
  <c r="C21" i="14"/>
  <c r="I20" i="14"/>
  <c r="G20" i="14"/>
  <c r="E20" i="14"/>
  <c r="C20" i="14"/>
  <c r="I19" i="14"/>
  <c r="G19" i="14"/>
  <c r="E19" i="14"/>
  <c r="C19" i="14"/>
  <c r="I18" i="14"/>
  <c r="G18" i="14"/>
  <c r="E18" i="14"/>
  <c r="C18" i="14"/>
  <c r="I17" i="14"/>
  <c r="G17" i="14"/>
  <c r="E17" i="14"/>
  <c r="C17" i="14"/>
  <c r="I16" i="14"/>
  <c r="G16" i="14"/>
  <c r="E16" i="14"/>
  <c r="C16" i="14"/>
  <c r="I15" i="14"/>
  <c r="G15" i="14"/>
  <c r="E15" i="14"/>
  <c r="C15" i="14"/>
  <c r="I14" i="14"/>
  <c r="G14" i="14"/>
  <c r="E14" i="14"/>
  <c r="C14" i="14"/>
  <c r="I13" i="14"/>
  <c r="G13" i="14"/>
  <c r="E13" i="14"/>
  <c r="C13" i="14"/>
  <c r="I12" i="14"/>
  <c r="G12" i="14"/>
  <c r="E12" i="14"/>
  <c r="C12" i="14"/>
  <c r="I11" i="14"/>
  <c r="G11" i="14"/>
  <c r="E11" i="14"/>
  <c r="C11" i="14"/>
  <c r="I10" i="14"/>
  <c r="G10" i="14"/>
  <c r="E10" i="14"/>
  <c r="C10" i="14"/>
  <c r="I9" i="14"/>
  <c r="G9" i="14"/>
  <c r="E9" i="14"/>
  <c r="C9" i="14"/>
  <c r="I8" i="14"/>
  <c r="G8" i="14"/>
  <c r="E8" i="14"/>
  <c r="C8" i="14"/>
  <c r="I7" i="14"/>
  <c r="G7" i="14"/>
  <c r="E7" i="14"/>
  <c r="C7" i="14"/>
  <c r="I6" i="14"/>
  <c r="G6" i="14"/>
  <c r="E6" i="14"/>
  <c r="C6" i="14"/>
  <c r="I5" i="14"/>
  <c r="G5" i="14"/>
  <c r="E5" i="14"/>
  <c r="C5" i="14"/>
  <c r="N34" i="14" a="1"/>
  <c r="N34" i="14"/>
  <c r="I4" i="14"/>
  <c r="G4" i="14"/>
  <c r="E4" i="14"/>
  <c r="C4" i="14"/>
  <c r="I3" i="14"/>
  <c r="G3" i="14"/>
  <c r="E3" i="14"/>
  <c r="C3" i="14"/>
  <c r="O17" i="12"/>
  <c r="O16" i="12"/>
  <c r="O15" i="12"/>
  <c r="O14" i="12"/>
  <c r="N17" i="12"/>
  <c r="N16" i="12"/>
  <c r="N15" i="12"/>
  <c r="N14" i="12"/>
  <c r="W23" i="16" a="1"/>
  <c r="W23" i="16"/>
  <c r="X23" i="16"/>
  <c r="W23" i="15" a="1"/>
  <c r="W23" i="15"/>
  <c r="X23" i="15"/>
  <c r="W23" i="14" a="1"/>
  <c r="W23" i="14"/>
  <c r="X23" i="14"/>
  <c r="N33" i="16"/>
  <c r="N33" i="15"/>
  <c r="N33" i="14"/>
  <c r="T2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4" i="12"/>
  <c r="C5" i="12"/>
  <c r="C6" i="12"/>
  <c r="C7" i="12"/>
  <c r="C8" i="12"/>
  <c r="C9" i="12"/>
  <c r="C10" i="12"/>
  <c r="C11" i="12"/>
  <c r="C12" i="12"/>
  <c r="C3" i="12"/>
  <c r="W23" i="12" a="1"/>
  <c r="W23" i="12"/>
  <c r="X23" i="12"/>
  <c r="N34" i="16" a="1"/>
  <c r="N34" i="16"/>
  <c r="O7" i="12"/>
  <c r="N7" i="12"/>
  <c r="Q7" i="12"/>
  <c r="P7" i="12"/>
  <c r="N4" i="12"/>
  <c r="O4" i="12"/>
  <c r="P4" i="12"/>
  <c r="Q4" i="12"/>
  <c r="N5" i="12"/>
  <c r="O5" i="12"/>
  <c r="P5" i="12"/>
  <c r="Q5" i="12"/>
  <c r="N6" i="12"/>
  <c r="O6" i="12"/>
  <c r="P6" i="12"/>
  <c r="Q6" i="12"/>
  <c r="S28" i="12"/>
  <c r="S27" i="12"/>
  <c r="I3" i="12"/>
  <c r="G3" i="12"/>
  <c r="E3" i="12"/>
  <c r="N34" i="12" a="1"/>
  <c r="N34" i="12"/>
  <c r="N33" i="12"/>
  <c r="N31" i="3"/>
  <c r="U23" i="1"/>
  <c r="X23" i="1" a="1"/>
  <c r="X23" i="1"/>
  <c r="Y23" i="1"/>
  <c r="Y24" i="1"/>
  <c r="U25" i="1"/>
  <c r="S28" i="3"/>
  <c r="S27" i="3"/>
  <c r="K106" i="3"/>
  <c r="I106" i="3"/>
  <c r="G106" i="3"/>
  <c r="E106" i="3"/>
  <c r="C106" i="3"/>
  <c r="K105" i="3"/>
  <c r="I105" i="3"/>
  <c r="G105" i="3"/>
  <c r="E105" i="3"/>
  <c r="C105" i="3"/>
  <c r="K104" i="3"/>
  <c r="I104" i="3"/>
  <c r="G104" i="3"/>
  <c r="E104" i="3"/>
  <c r="C104" i="3"/>
  <c r="K103" i="3"/>
  <c r="I103" i="3"/>
  <c r="G103" i="3"/>
  <c r="E103" i="3"/>
  <c r="C103" i="3"/>
  <c r="K102" i="3"/>
  <c r="I102" i="3"/>
  <c r="G102" i="3"/>
  <c r="E102" i="3"/>
  <c r="C102" i="3"/>
  <c r="K101" i="3"/>
  <c r="I101" i="3"/>
  <c r="G101" i="3"/>
  <c r="E101" i="3"/>
  <c r="C101" i="3"/>
  <c r="K100" i="3"/>
  <c r="I100" i="3"/>
  <c r="G100" i="3"/>
  <c r="E100" i="3"/>
  <c r="C100" i="3"/>
  <c r="K99" i="3"/>
  <c r="I99" i="3"/>
  <c r="G99" i="3"/>
  <c r="E99" i="3"/>
  <c r="C99" i="3"/>
  <c r="K98" i="3"/>
  <c r="I98" i="3"/>
  <c r="G98" i="3"/>
  <c r="E98" i="3"/>
  <c r="C98" i="3"/>
  <c r="K97" i="3"/>
  <c r="I97" i="3"/>
  <c r="G97" i="3"/>
  <c r="E97" i="3"/>
  <c r="C97" i="3"/>
  <c r="K96" i="3"/>
  <c r="I96" i="3"/>
  <c r="G96" i="3"/>
  <c r="E96" i="3"/>
  <c r="C96" i="3"/>
  <c r="K95" i="3"/>
  <c r="I95" i="3"/>
  <c r="G95" i="3"/>
  <c r="E95" i="3"/>
  <c r="C95" i="3"/>
  <c r="K94" i="3"/>
  <c r="I94" i="3"/>
  <c r="G94" i="3"/>
  <c r="E94" i="3"/>
  <c r="C94" i="3"/>
  <c r="K93" i="3"/>
  <c r="I93" i="3"/>
  <c r="G93" i="3"/>
  <c r="E93" i="3"/>
  <c r="C93" i="3"/>
  <c r="K92" i="3"/>
  <c r="I92" i="3"/>
  <c r="G92" i="3"/>
  <c r="E92" i="3"/>
  <c r="C92" i="3"/>
  <c r="K91" i="3"/>
  <c r="I91" i="3"/>
  <c r="G91" i="3"/>
  <c r="E91" i="3"/>
  <c r="C91" i="3"/>
  <c r="K90" i="3"/>
  <c r="I90" i="3"/>
  <c r="G90" i="3"/>
  <c r="E90" i="3"/>
  <c r="C90" i="3"/>
  <c r="K89" i="3"/>
  <c r="I89" i="3"/>
  <c r="G89" i="3"/>
  <c r="E89" i="3"/>
  <c r="C89" i="3"/>
  <c r="K88" i="3"/>
  <c r="I88" i="3"/>
  <c r="G88" i="3"/>
  <c r="E88" i="3"/>
  <c r="C88" i="3"/>
  <c r="K87" i="3"/>
  <c r="I87" i="3"/>
  <c r="G87" i="3"/>
  <c r="E87" i="3"/>
  <c r="C87" i="3"/>
  <c r="K86" i="3"/>
  <c r="I86" i="3"/>
  <c r="G86" i="3"/>
  <c r="E86" i="3"/>
  <c r="C86" i="3"/>
  <c r="K85" i="3"/>
  <c r="I85" i="3"/>
  <c r="G85" i="3"/>
  <c r="E85" i="3"/>
  <c r="C85" i="3"/>
  <c r="K84" i="3"/>
  <c r="I84" i="3"/>
  <c r="G84" i="3"/>
  <c r="E84" i="3"/>
  <c r="C84" i="3"/>
  <c r="K83" i="3"/>
  <c r="I83" i="3"/>
  <c r="G83" i="3"/>
  <c r="E83" i="3"/>
  <c r="C83" i="3"/>
  <c r="K82" i="3"/>
  <c r="I82" i="3"/>
  <c r="G82" i="3"/>
  <c r="E82" i="3"/>
  <c r="C82" i="3"/>
  <c r="K81" i="3"/>
  <c r="I81" i="3"/>
  <c r="G81" i="3"/>
  <c r="E81" i="3"/>
  <c r="C81" i="3"/>
  <c r="K80" i="3"/>
  <c r="I80" i="3"/>
  <c r="G80" i="3"/>
  <c r="E80" i="3"/>
  <c r="C80" i="3"/>
  <c r="K79" i="3"/>
  <c r="I79" i="3"/>
  <c r="G79" i="3"/>
  <c r="E79" i="3"/>
  <c r="C79" i="3"/>
  <c r="K78" i="3"/>
  <c r="I78" i="3"/>
  <c r="G78" i="3"/>
  <c r="E78" i="3"/>
  <c r="C78" i="3"/>
  <c r="K77" i="3"/>
  <c r="I77" i="3"/>
  <c r="G77" i="3"/>
  <c r="E77" i="3"/>
  <c r="C77" i="3"/>
  <c r="K76" i="3"/>
  <c r="I76" i="3"/>
  <c r="G76" i="3"/>
  <c r="E76" i="3"/>
  <c r="C76" i="3"/>
  <c r="K75" i="3"/>
  <c r="I75" i="3"/>
  <c r="G75" i="3"/>
  <c r="E75" i="3"/>
  <c r="C75" i="3"/>
  <c r="K74" i="3"/>
  <c r="I74" i="3"/>
  <c r="G74" i="3"/>
  <c r="E74" i="3"/>
  <c r="C74" i="3"/>
  <c r="K73" i="3"/>
  <c r="I73" i="3"/>
  <c r="G73" i="3"/>
  <c r="E73" i="3"/>
  <c r="C73" i="3"/>
  <c r="K72" i="3"/>
  <c r="I72" i="3"/>
  <c r="G72" i="3"/>
  <c r="E72" i="3"/>
  <c r="C72" i="3"/>
  <c r="K71" i="3"/>
  <c r="I71" i="3"/>
  <c r="G71" i="3"/>
  <c r="E71" i="3"/>
  <c r="C71" i="3"/>
  <c r="K70" i="3"/>
  <c r="I70" i="3"/>
  <c r="G70" i="3"/>
  <c r="E70" i="3"/>
  <c r="C70" i="3"/>
  <c r="K69" i="3"/>
  <c r="I69" i="3"/>
  <c r="G69" i="3"/>
  <c r="E69" i="3"/>
  <c r="C69" i="3"/>
  <c r="K68" i="3"/>
  <c r="I68" i="3"/>
  <c r="G68" i="3"/>
  <c r="E68" i="3"/>
  <c r="C68" i="3"/>
  <c r="K67" i="3"/>
  <c r="I67" i="3"/>
  <c r="G67" i="3"/>
  <c r="E67" i="3"/>
  <c r="C67" i="3"/>
  <c r="K66" i="3"/>
  <c r="I66" i="3"/>
  <c r="G66" i="3"/>
  <c r="E66" i="3"/>
  <c r="C66" i="3"/>
  <c r="K65" i="3"/>
  <c r="I65" i="3"/>
  <c r="G65" i="3"/>
  <c r="E65" i="3"/>
  <c r="C65" i="3"/>
  <c r="K64" i="3"/>
  <c r="I64" i="3"/>
  <c r="G64" i="3"/>
  <c r="E64" i="3"/>
  <c r="C64" i="3"/>
  <c r="K63" i="3"/>
  <c r="I63" i="3"/>
  <c r="G63" i="3"/>
  <c r="E63" i="3"/>
  <c r="C63" i="3"/>
  <c r="K62" i="3"/>
  <c r="I62" i="3"/>
  <c r="G62" i="3"/>
  <c r="E62" i="3"/>
  <c r="C62" i="3"/>
  <c r="K61" i="3"/>
  <c r="I61" i="3"/>
  <c r="G61" i="3"/>
  <c r="E61" i="3"/>
  <c r="C61" i="3"/>
  <c r="K60" i="3"/>
  <c r="I60" i="3"/>
  <c r="G60" i="3"/>
  <c r="E60" i="3"/>
  <c r="C60" i="3"/>
  <c r="K59" i="3"/>
  <c r="I59" i="3"/>
  <c r="G59" i="3"/>
  <c r="E59" i="3"/>
  <c r="C59" i="3"/>
  <c r="K58" i="3"/>
  <c r="I58" i="3"/>
  <c r="G58" i="3"/>
  <c r="E58" i="3"/>
  <c r="C58" i="3"/>
  <c r="K57" i="3"/>
  <c r="I57" i="3"/>
  <c r="G57" i="3"/>
  <c r="E57" i="3"/>
  <c r="C57" i="3"/>
  <c r="K56" i="3"/>
  <c r="I56" i="3"/>
  <c r="G56" i="3"/>
  <c r="E56" i="3"/>
  <c r="C56" i="3"/>
  <c r="K55" i="3"/>
  <c r="I55" i="3"/>
  <c r="G55" i="3"/>
  <c r="E55" i="3"/>
  <c r="C55" i="3"/>
  <c r="K54" i="3"/>
  <c r="I54" i="3"/>
  <c r="G54" i="3"/>
  <c r="E54" i="3"/>
  <c r="C54" i="3"/>
  <c r="K53" i="3"/>
  <c r="I53" i="3"/>
  <c r="G53" i="3"/>
  <c r="E53" i="3"/>
  <c r="C53" i="3"/>
  <c r="K52" i="3"/>
  <c r="I52" i="3"/>
  <c r="G52" i="3"/>
  <c r="E52" i="3"/>
  <c r="C52" i="3"/>
  <c r="K51" i="3"/>
  <c r="I51" i="3"/>
  <c r="G51" i="3"/>
  <c r="E51" i="3"/>
  <c r="C51" i="3"/>
  <c r="K50" i="3"/>
  <c r="I50" i="3"/>
  <c r="G50" i="3"/>
  <c r="E50" i="3"/>
  <c r="C50" i="3"/>
  <c r="K49" i="3"/>
  <c r="I49" i="3"/>
  <c r="G49" i="3"/>
  <c r="E49" i="3"/>
  <c r="C49" i="3"/>
  <c r="K48" i="3"/>
  <c r="I48" i="3"/>
  <c r="G48" i="3"/>
  <c r="E48" i="3"/>
  <c r="C48" i="3"/>
  <c r="K47" i="3"/>
  <c r="I47" i="3"/>
  <c r="G47" i="3"/>
  <c r="E47" i="3"/>
  <c r="C47" i="3"/>
  <c r="K46" i="3"/>
  <c r="I46" i="3"/>
  <c r="G46" i="3"/>
  <c r="E46" i="3"/>
  <c r="C46" i="3"/>
  <c r="K45" i="3"/>
  <c r="I45" i="3"/>
  <c r="G45" i="3"/>
  <c r="E45" i="3"/>
  <c r="C45" i="3"/>
  <c r="K44" i="3"/>
  <c r="I44" i="3"/>
  <c r="G44" i="3"/>
  <c r="E44" i="3"/>
  <c r="C44" i="3"/>
  <c r="K43" i="3"/>
  <c r="I43" i="3"/>
  <c r="G43" i="3"/>
  <c r="E43" i="3"/>
  <c r="C43" i="3"/>
  <c r="K42" i="3"/>
  <c r="I42" i="3"/>
  <c r="G42" i="3"/>
  <c r="E42" i="3"/>
  <c r="C42" i="3"/>
  <c r="K41" i="3"/>
  <c r="I41" i="3"/>
  <c r="G41" i="3"/>
  <c r="E41" i="3"/>
  <c r="C41" i="3"/>
  <c r="K40" i="3"/>
  <c r="I40" i="3"/>
  <c r="G40" i="3"/>
  <c r="E40" i="3"/>
  <c r="C40" i="3"/>
  <c r="K39" i="3"/>
  <c r="I39" i="3"/>
  <c r="G39" i="3"/>
  <c r="E39" i="3"/>
  <c r="C39" i="3"/>
  <c r="K38" i="3"/>
  <c r="I38" i="3"/>
  <c r="G38" i="3"/>
  <c r="E38" i="3"/>
  <c r="C38" i="3"/>
  <c r="K37" i="3"/>
  <c r="I37" i="3"/>
  <c r="G37" i="3"/>
  <c r="E37" i="3"/>
  <c r="C37" i="3"/>
  <c r="K36" i="3"/>
  <c r="I36" i="3"/>
  <c r="G36" i="3"/>
  <c r="E36" i="3"/>
  <c r="C36" i="3"/>
  <c r="K35" i="3"/>
  <c r="I35" i="3"/>
  <c r="G35" i="3"/>
  <c r="E35" i="3"/>
  <c r="C35" i="3"/>
  <c r="K34" i="3"/>
  <c r="I34" i="3"/>
  <c r="G34" i="3"/>
  <c r="E34" i="3"/>
  <c r="C34" i="3"/>
  <c r="K33" i="3"/>
  <c r="I33" i="3"/>
  <c r="G33" i="3"/>
  <c r="E33" i="3"/>
  <c r="C33" i="3"/>
  <c r="K32" i="3"/>
  <c r="I32" i="3"/>
  <c r="G32" i="3"/>
  <c r="E32" i="3"/>
  <c r="C32" i="3"/>
  <c r="K31" i="3"/>
  <c r="I31" i="3"/>
  <c r="G31" i="3"/>
  <c r="E31" i="3"/>
  <c r="C31" i="3"/>
  <c r="K30" i="3"/>
  <c r="I30" i="3"/>
  <c r="G30" i="3"/>
  <c r="E30" i="3"/>
  <c r="C30" i="3"/>
  <c r="K29" i="3"/>
  <c r="I29" i="3"/>
  <c r="G29" i="3"/>
  <c r="E29" i="3"/>
  <c r="C29" i="3"/>
  <c r="K28" i="3"/>
  <c r="I28" i="3"/>
  <c r="G28" i="3"/>
  <c r="E28" i="3"/>
  <c r="C28" i="3"/>
  <c r="K27" i="3"/>
  <c r="I27" i="3"/>
  <c r="G27" i="3"/>
  <c r="E27" i="3"/>
  <c r="C27" i="3"/>
  <c r="K26" i="3"/>
  <c r="I26" i="3"/>
  <c r="G26" i="3"/>
  <c r="E26" i="3"/>
  <c r="C26" i="3"/>
  <c r="K25" i="3"/>
  <c r="I25" i="3"/>
  <c r="G25" i="3"/>
  <c r="E25" i="3"/>
  <c r="C25" i="3"/>
  <c r="K24" i="3"/>
  <c r="I24" i="3"/>
  <c r="G24" i="3"/>
  <c r="E24" i="3"/>
  <c r="C24" i="3"/>
  <c r="U23" i="3"/>
  <c r="K23" i="3"/>
  <c r="I23" i="3"/>
  <c r="G23" i="3"/>
  <c r="E23" i="3"/>
  <c r="C23" i="3"/>
  <c r="K22" i="3"/>
  <c r="I22" i="3"/>
  <c r="G22" i="3"/>
  <c r="E22" i="3"/>
  <c r="C22" i="3"/>
  <c r="K21" i="3"/>
  <c r="I21" i="3"/>
  <c r="G21" i="3"/>
  <c r="E21" i="3"/>
  <c r="C21" i="3"/>
  <c r="K20" i="3"/>
  <c r="I20" i="3"/>
  <c r="G20" i="3"/>
  <c r="E20" i="3"/>
  <c r="C20" i="3"/>
  <c r="K19" i="3"/>
  <c r="I19" i="3"/>
  <c r="G19" i="3"/>
  <c r="E19" i="3"/>
  <c r="C19" i="3"/>
  <c r="K18" i="3"/>
  <c r="I18" i="3"/>
  <c r="G18" i="3"/>
  <c r="E18" i="3"/>
  <c r="C18" i="3"/>
  <c r="K17" i="3"/>
  <c r="I17" i="3"/>
  <c r="G17" i="3"/>
  <c r="E17" i="3"/>
  <c r="C17" i="3"/>
  <c r="K16" i="3"/>
  <c r="I16" i="3"/>
  <c r="G16" i="3"/>
  <c r="E16" i="3"/>
  <c r="C16" i="3"/>
  <c r="K15" i="3"/>
  <c r="I15" i="3"/>
  <c r="G15" i="3"/>
  <c r="E15" i="3"/>
  <c r="C15" i="3"/>
  <c r="K14" i="3"/>
  <c r="I14" i="3"/>
  <c r="G14" i="3"/>
  <c r="E14" i="3"/>
  <c r="C14" i="3"/>
  <c r="K13" i="3"/>
  <c r="I13" i="3"/>
  <c r="G13" i="3"/>
  <c r="E13" i="3"/>
  <c r="C13" i="3"/>
  <c r="K12" i="3"/>
  <c r="I12" i="3"/>
  <c r="G12" i="3"/>
  <c r="E12" i="3"/>
  <c r="C12" i="3"/>
  <c r="K11" i="3"/>
  <c r="I11" i="3"/>
  <c r="G11" i="3"/>
  <c r="E11" i="3"/>
  <c r="C11" i="3"/>
  <c r="K10" i="3"/>
  <c r="I10" i="3"/>
  <c r="G10" i="3"/>
  <c r="E10" i="3"/>
  <c r="C10" i="3"/>
  <c r="K9" i="3"/>
  <c r="I9" i="3"/>
  <c r="G9" i="3"/>
  <c r="E9" i="3"/>
  <c r="C9" i="3"/>
  <c r="K8" i="3"/>
  <c r="I8" i="3"/>
  <c r="G8" i="3"/>
  <c r="E8" i="3"/>
  <c r="C8" i="3"/>
  <c r="K7" i="3"/>
  <c r="I7" i="3"/>
  <c r="G7" i="3"/>
  <c r="E7" i="3"/>
  <c r="C7" i="3"/>
  <c r="K6" i="3"/>
  <c r="I6" i="3"/>
  <c r="G6" i="3"/>
  <c r="E6" i="3"/>
  <c r="C6" i="3"/>
  <c r="K5" i="3"/>
  <c r="I5" i="3"/>
  <c r="G5" i="3"/>
  <c r="E5" i="3"/>
  <c r="C5" i="3"/>
  <c r="K4" i="3"/>
  <c r="I4" i="3"/>
  <c r="G4" i="3"/>
  <c r="E4" i="3"/>
  <c r="C4" i="3"/>
  <c r="K3" i="3"/>
  <c r="I3" i="3"/>
  <c r="G3" i="3"/>
  <c r="E3" i="3"/>
  <c r="C3" i="3"/>
  <c r="O16" i="3"/>
  <c r="P6" i="3"/>
  <c r="P5" i="3"/>
  <c r="P8" i="3"/>
  <c r="P4" i="3"/>
  <c r="P7" i="3"/>
  <c r="Q5" i="3"/>
  <c r="Q8" i="3"/>
  <c r="Q4" i="3"/>
  <c r="Q7" i="3"/>
  <c r="Q6" i="3"/>
  <c r="R8" i="3"/>
  <c r="R4" i="3"/>
  <c r="R7" i="3"/>
  <c r="R6" i="3"/>
  <c r="R5" i="3"/>
  <c r="N8" i="3"/>
  <c r="N7" i="3"/>
  <c r="N6" i="3"/>
  <c r="N4" i="3"/>
  <c r="X23" i="3" a="1"/>
  <c r="X23" i="3"/>
  <c r="N5" i="3"/>
  <c r="O7" i="3"/>
  <c r="O6" i="3"/>
  <c r="O5" i="3"/>
  <c r="O8" i="3"/>
  <c r="O4" i="3"/>
  <c r="N17" i="3"/>
  <c r="O18" i="3"/>
  <c r="N15" i="3"/>
  <c r="O14" i="3"/>
  <c r="O15" i="3"/>
  <c r="N16" i="3"/>
  <c r="O17" i="3"/>
  <c r="N14" i="3"/>
  <c r="Y23" i="3"/>
  <c r="N18" i="3"/>
  <c r="N34" i="3" a="1"/>
  <c r="N34" i="3"/>
  <c r="O25" i="3"/>
  <c r="O24" i="3"/>
  <c r="O23" i="3"/>
  <c r="N33" i="3"/>
  <c r="O22" i="3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3" i="1"/>
  <c r="N8" i="1"/>
  <c r="N4" i="1"/>
  <c r="N5" i="1"/>
  <c r="N7" i="1"/>
  <c r="N6" i="1"/>
  <c r="O7" i="1"/>
  <c r="O6" i="1"/>
  <c r="O5" i="1"/>
  <c r="O8" i="1"/>
  <c r="O4" i="1"/>
  <c r="P6" i="1"/>
  <c r="P5" i="1"/>
  <c r="P8" i="1"/>
  <c r="P4" i="1"/>
  <c r="P7" i="1"/>
  <c r="Q5" i="1"/>
  <c r="Q8" i="1"/>
  <c r="Q4" i="1"/>
  <c r="Q7" i="1"/>
  <c r="Q6" i="1"/>
  <c r="R8" i="1"/>
  <c r="R4" i="1"/>
  <c r="R7" i="1"/>
  <c r="R6" i="1"/>
  <c r="R5" i="1"/>
  <c r="O18" i="1"/>
  <c r="O17" i="1"/>
  <c r="O16" i="1"/>
  <c r="O15" i="1"/>
  <c r="O14" i="1"/>
  <c r="N18" i="1"/>
  <c r="N17" i="1"/>
  <c r="N16" i="1"/>
  <c r="N15" i="1"/>
  <c r="N14" i="1"/>
  <c r="N31" i="1"/>
  <c r="N34" i="1" a="1"/>
  <c r="N34" i="1"/>
  <c r="O23" i="1"/>
  <c r="O22" i="1"/>
  <c r="O24" i="1"/>
  <c r="O25" i="1"/>
  <c r="N33" i="1"/>
</calcChain>
</file>

<file path=xl/sharedStrings.xml><?xml version="1.0" encoding="utf-8"?>
<sst xmlns="http://schemas.openxmlformats.org/spreadsheetml/2006/main" count="396" uniqueCount="51">
  <si>
    <t>Date</t>
  </si>
  <si>
    <t>GS</t>
  </si>
  <si>
    <t>Weekly Return</t>
  </si>
  <si>
    <t>HD</t>
  </si>
  <si>
    <t>ADTN</t>
  </si>
  <si>
    <t>LQD</t>
  </si>
  <si>
    <t>TLT</t>
  </si>
  <si>
    <t>Expected Returns</t>
  </si>
  <si>
    <t>wGS</t>
  </si>
  <si>
    <t>wHD</t>
  </si>
  <si>
    <t>wADTN</t>
  </si>
  <si>
    <t>wLQD</t>
  </si>
  <si>
    <t>wTLT</t>
  </si>
  <si>
    <t>Prortfolio Exp. Ret</t>
  </si>
  <si>
    <t>Portfolio Exp. Risk</t>
  </si>
  <si>
    <t>Risk</t>
  </si>
  <si>
    <t>expected return</t>
  </si>
  <si>
    <t>expected risk</t>
  </si>
  <si>
    <t>targets</t>
  </si>
  <si>
    <t>Max Return</t>
  </si>
  <si>
    <t>Min Return</t>
  </si>
  <si>
    <t>Max Risk</t>
  </si>
  <si>
    <t>Min Risk</t>
  </si>
  <si>
    <t># of points</t>
  </si>
  <si>
    <t>Solver</t>
  </si>
  <si>
    <t>target</t>
  </si>
  <si>
    <t>Choose the number of points. The bigger the number, the longer it takes.</t>
  </si>
  <si>
    <t>Wait at least N seconds (N: # of points)</t>
  </si>
  <si>
    <t>Min Portfolio Variance</t>
  </si>
  <si>
    <t>Max Portfolio Varinace</t>
  </si>
  <si>
    <t>Goldman SachsGoldman Sachs Group Inc</t>
  </si>
  <si>
    <t>Home Depot Inc</t>
  </si>
  <si>
    <t>ADTRAN, Inc.</t>
  </si>
  <si>
    <t>iShares Barclays 20+ Yr Treas.Bond (ETF)</t>
  </si>
  <si>
    <r>
      <t> </t>
    </r>
    <r>
      <rPr>
        <b/>
        <sz val="10"/>
        <color rgb="FF212121"/>
        <rFont val="Times New Roman"/>
        <family val="1"/>
      </rPr>
      <t>iShares IBoxx $ Invest Grade Corp Bd Fd</t>
    </r>
  </si>
  <si>
    <t>Variance Covariance Matrix</t>
  </si>
  <si>
    <t>S&amp;P 500 Index (Large Cap)</t>
  </si>
  <si>
    <t>Russell 2000 Index (Small Cap)</t>
  </si>
  <si>
    <t>monthly return</t>
  </si>
  <si>
    <t>U.S. Corporate Investment Grade</t>
  </si>
  <si>
    <t>U.S. Treasury</t>
  </si>
  <si>
    <t>S&amp;P 500</t>
  </si>
  <si>
    <t>Russell 2000</t>
  </si>
  <si>
    <t>US Corporate Investment</t>
  </si>
  <si>
    <t>US Treasury</t>
  </si>
  <si>
    <t>weights</t>
  </si>
  <si>
    <t>Max/Min Analysis</t>
  </si>
  <si>
    <t>Q2</t>
  </si>
  <si>
    <t>Q3</t>
  </si>
  <si>
    <t>Min Portfolio Risk</t>
  </si>
  <si>
    <t>Max Portfolio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</si>
</sst>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00%"/>
    <numFmt numFmtId="165" formatCode="0.0000000%"/>
    <numFmt numFmtId="166" formatCode="0.00000000%"/>
    <numFmt numFmtId="167" formatCode="0.000000%"/>
    <numFmt numFmtId="168" formatCode="0.0000%"/>
    <numFmt numFmtId="169" formatCode="_(* #,##0.0_);_(* \(#,##0.0\);_(* &quot;-&quot;??_);_(@_)"/>
    <numFmt numFmtId="170" formatCode="0.000000"/>
  </numFmts>
  <fonts count="1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b/>
      <sz val="10"/>
      <color rgb="FF212121"/>
      <name val="Times New Roman"/>
      <family val="1"/>
    </font>
    <font>
      <b/>
      <sz val="10"/>
      <color rgb="FF878787"/>
      <name val="Times New Roman"/>
      <family val="1"/>
    </font>
    <font>
      <sz val="12"/>
      <color rgb="FF000000"/>
      <name val="Calibri"/>
      <family val="2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2" fillId="0" borderId="0" xfId="0" applyNumberFormat="1" applyFont="1"/>
    <xf numFmtId="164" fontId="4" fillId="0" borderId="0" xfId="1" applyNumberFormat="1" applyFont="1"/>
    <xf numFmtId="0" fontId="8" fillId="0" borderId="0" xfId="0" applyFont="1"/>
    <xf numFmtId="0" fontId="9" fillId="0" borderId="0" xfId="0" applyFont="1"/>
    <xf numFmtId="165" fontId="8" fillId="0" borderId="0" xfId="1" applyNumberFormat="1" applyFont="1"/>
    <xf numFmtId="165" fontId="4" fillId="0" borderId="0" xfId="0" applyNumberFormat="1" applyFont="1"/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8" fillId="0" borderId="0" xfId="1" applyNumberFormat="1" applyFont="1"/>
    <xf numFmtId="167" fontId="4" fillId="0" borderId="0" xfId="1" applyNumberFormat="1" applyFont="1"/>
    <xf numFmtId="0" fontId="6" fillId="0" borderId="0" xfId="0" applyFont="1"/>
    <xf numFmtId="167" fontId="8" fillId="0" borderId="0" xfId="0" applyNumberFormat="1" applyFont="1" applyAlignment="1">
      <alignment horizontal="center" vertical="center"/>
    </xf>
    <xf numFmtId="167" fontId="4" fillId="0" borderId="0" xfId="0" applyNumberFormat="1" applyFont="1"/>
    <xf numFmtId="167" fontId="8" fillId="0" borderId="0" xfId="0" applyNumberFormat="1" applyFont="1"/>
    <xf numFmtId="0" fontId="9" fillId="0" borderId="0" xfId="0" applyFont="1" applyAlignment="1">
      <alignment horizontal="center"/>
    </xf>
    <xf numFmtId="164" fontId="8" fillId="0" borderId="0" xfId="1" applyNumberFormat="1" applyFont="1" applyAlignment="1">
      <alignment horizontal="center"/>
    </xf>
    <xf numFmtId="0" fontId="10" fillId="0" borderId="0" xfId="0" applyFont="1" applyAlignment="1">
      <alignment horizontal="center"/>
    </xf>
    <xf numFmtId="165" fontId="8" fillId="0" borderId="0" xfId="1" applyNumberFormat="1" applyFont="1" applyAlignment="1">
      <alignment horizontal="center"/>
    </xf>
    <xf numFmtId="167" fontId="8" fillId="0" borderId="0" xfId="1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166" fontId="8" fillId="0" borderId="0" xfId="1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7" fontId="5" fillId="0" borderId="0" xfId="1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168" fontId="8" fillId="0" borderId="0" xfId="1" applyNumberFormat="1" applyFont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9" fontId="0" fillId="0" borderId="0" xfId="2" applyNumberFormat="1" applyFont="1"/>
    <xf numFmtId="169" fontId="0" fillId="0" borderId="0" xfId="2" applyNumberFormat="1" applyFont="1" applyAlignment="1">
      <alignment horizontal="center" vertical="center"/>
    </xf>
    <xf numFmtId="169" fontId="0" fillId="0" borderId="0" xfId="2" applyNumberFormat="1" applyFont="1" applyAlignment="1">
      <alignment vertical="center"/>
    </xf>
    <xf numFmtId="0" fontId="9" fillId="0" borderId="0" xfId="0" applyFont="1" applyBorder="1" applyAlignment="1">
      <alignment horizontal="center" vertical="center"/>
    </xf>
    <xf numFmtId="167" fontId="8" fillId="0" borderId="0" xfId="0" applyNumberFormat="1" applyFont="1" applyAlignment="1">
      <alignment horizontal="center"/>
    </xf>
    <xf numFmtId="170" fontId="2" fillId="0" borderId="0" xfId="0" applyNumberFormat="1" applyFont="1"/>
    <xf numFmtId="0" fontId="14" fillId="0" borderId="0" xfId="0" applyFont="1"/>
    <xf numFmtId="164" fontId="4" fillId="0" borderId="0" xfId="0" applyNumberFormat="1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Unconstrained 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'Unconstrained EF (Q4)'!$T$38:$T$1000</c:f>
              <c:numCache>
                <c:formatCode>0.00000%</c:formatCode>
                <c:ptCount val="963"/>
                <c:pt idx="0">
                  <c:v>0.00618312680941181</c:v>
                </c:pt>
                <c:pt idx="1">
                  <c:v>0.00596091911490204</c:v>
                </c:pt>
                <c:pt idx="2">
                  <c:v>0.00583151154737726</c:v>
                </c:pt>
                <c:pt idx="3">
                  <c:v>0.00580111781670981</c:v>
                </c:pt>
                <c:pt idx="4">
                  <c:v>0.0058712758242838</c:v>
                </c:pt>
                <c:pt idx="5">
                  <c:v>0.0060384818047687</c:v>
                </c:pt>
                <c:pt idx="6">
                  <c:v>0.00629500723244216</c:v>
                </c:pt>
                <c:pt idx="7">
                  <c:v>0.00663049322791586</c:v>
                </c:pt>
                <c:pt idx="8">
                  <c:v>0.00703365023830278</c:v>
                </c:pt>
                <c:pt idx="9">
                  <c:v>0.00749356402122279</c:v>
                </c:pt>
                <c:pt idx="10">
                  <c:v>0.00800045239887759</c:v>
                </c:pt>
                <c:pt idx="11">
                  <c:v>0.00854596082305184</c:v>
                </c:pt>
                <c:pt idx="12">
                  <c:v>0.00912316419731919</c:v>
                </c:pt>
                <c:pt idx="13">
                  <c:v>0.00972642145464705</c:v>
                </c:pt>
                <c:pt idx="14">
                  <c:v>0.0103511784184928</c:v>
                </c:pt>
                <c:pt idx="15">
                  <c:v>0.0109937703113096</c:v>
                </c:pt>
                <c:pt idx="16">
                  <c:v>0.0116512466151193</c:v>
                </c:pt>
                <c:pt idx="17">
                  <c:v>0.0123212247912489</c:v>
                </c:pt>
                <c:pt idx="18">
                  <c:v>0.0130017723436404</c:v>
                </c:pt>
                <c:pt idx="19">
                  <c:v>0.0136913132506912</c:v>
                </c:pt>
                <c:pt idx="20">
                  <c:v>0.0143885546119106</c:v>
                </c:pt>
                <c:pt idx="21">
                  <c:v>0.0150924292217876</c:v>
                </c:pt>
                <c:pt idx="22">
                  <c:v>0.0158020507142192</c:v>
                </c:pt>
                <c:pt idx="23">
                  <c:v>0.0165166783805347</c:v>
                </c:pt>
                <c:pt idx="24">
                  <c:v>0.0172356895241256</c:v>
                </c:pt>
                <c:pt idx="25">
                  <c:v>0.017958557649677</c:v>
                </c:pt>
                <c:pt idx="26">
                  <c:v>0.0186848351124675</c:v>
                </c:pt>
                <c:pt idx="27">
                  <c:v>0.0194141392842638</c:v>
                </c:pt>
                <c:pt idx="28">
                  <c:v>0.0201461414753</c:v>
                </c:pt>
                <c:pt idx="29">
                  <c:v>0.0208805579179781</c:v>
                </c:pt>
              </c:numCache>
            </c:numRef>
          </c:xVal>
          <c:yVal>
            <c:numRef>
              <c:f>'Unconstrained EF (Q4)'!$U$38:$U$1000</c:f>
              <c:numCache>
                <c:formatCode>0.00000%</c:formatCode>
                <c:ptCount val="963"/>
                <c:pt idx="0">
                  <c:v>0.00108789901699864</c:v>
                </c:pt>
                <c:pt idx="1">
                  <c:v>0.00119479908891646</c:v>
                </c:pt>
                <c:pt idx="2">
                  <c:v>0.00130169916697542</c:v>
                </c:pt>
                <c:pt idx="3">
                  <c:v>0.00140859924533794</c:v>
                </c:pt>
                <c:pt idx="4">
                  <c:v>0.00151549932370686</c:v>
                </c:pt>
                <c:pt idx="5">
                  <c:v>0.00162239940206779</c:v>
                </c:pt>
                <c:pt idx="6">
                  <c:v>0.00172929948038369</c:v>
                </c:pt>
                <c:pt idx="7">
                  <c:v>0.00183619955870106</c:v>
                </c:pt>
                <c:pt idx="8">
                  <c:v>0.00194309963704156</c:v>
                </c:pt>
                <c:pt idx="9">
                  <c:v>0.00204999971533605</c:v>
                </c:pt>
                <c:pt idx="10">
                  <c:v>0.00215689979290283</c:v>
                </c:pt>
                <c:pt idx="11">
                  <c:v>0.0022637998719523</c:v>
                </c:pt>
                <c:pt idx="12">
                  <c:v>0.0023706999502559</c:v>
                </c:pt>
                <c:pt idx="13">
                  <c:v>0.00247760002785713</c:v>
                </c:pt>
                <c:pt idx="14">
                  <c:v>0.00258450010686306</c:v>
                </c:pt>
                <c:pt idx="15">
                  <c:v>0.00269140018448132</c:v>
                </c:pt>
                <c:pt idx="16">
                  <c:v>0.00279830026347022</c:v>
                </c:pt>
                <c:pt idx="17">
                  <c:v>0.00290520034109815</c:v>
                </c:pt>
                <c:pt idx="18">
                  <c:v>0.00301210042007738</c:v>
                </c:pt>
                <c:pt idx="19">
                  <c:v>0.00311900049838097</c:v>
                </c:pt>
                <c:pt idx="20">
                  <c:v>0.00322590057668455</c:v>
                </c:pt>
                <c:pt idx="21">
                  <c:v>0.00333280065431043</c:v>
                </c:pt>
                <c:pt idx="22">
                  <c:v>0.00343970073260859</c:v>
                </c:pt>
                <c:pt idx="23">
                  <c:v>0.00354660081159529</c:v>
                </c:pt>
                <c:pt idx="24">
                  <c:v>0.00365350088989887</c:v>
                </c:pt>
                <c:pt idx="25">
                  <c:v>0.00376040096820245</c:v>
                </c:pt>
                <c:pt idx="26">
                  <c:v>0.00386730104650604</c:v>
                </c:pt>
                <c:pt idx="27">
                  <c:v>0.00397420112408157</c:v>
                </c:pt>
                <c:pt idx="28">
                  <c:v>0.0040811012031132</c:v>
                </c:pt>
                <c:pt idx="29">
                  <c:v>0.00418800128066515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BCF-0545-8E56-78A2505C0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6886368"/>
        <c:axId val="-2146661280"/>
      </c:scatterChart>
      <c:valAx>
        <c:axId val="-214688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661280"/>
        <c:crosses val="autoZero"/>
        <c:crossBetween val="midCat"/>
      </c:valAx>
      <c:valAx>
        <c:axId val="-21466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88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 History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654014478403646"/>
          <c:y val="0.194891376394847"/>
          <c:w val="0.890125042350513"/>
          <c:h val="0.612841232999876"/>
        </c:manualLayout>
      </c:layout>
      <c:lineChart>
        <c:grouping val="standard"/>
        <c:varyColors val="0"/>
        <c:ser>
          <c:idx val="0"/>
          <c:order val="0"/>
          <c:tx>
            <c:v>HD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42366.0</c:v>
                </c:pt>
                <c:pt idx="1">
                  <c:v>42373.0</c:v>
                </c:pt>
                <c:pt idx="2">
                  <c:v>42380.0</c:v>
                </c:pt>
                <c:pt idx="3">
                  <c:v>42387.0</c:v>
                </c:pt>
                <c:pt idx="4">
                  <c:v>42394.0</c:v>
                </c:pt>
                <c:pt idx="5">
                  <c:v>42401.0</c:v>
                </c:pt>
                <c:pt idx="6">
                  <c:v>42408.0</c:v>
                </c:pt>
                <c:pt idx="7">
                  <c:v>42415.0</c:v>
                </c:pt>
                <c:pt idx="8">
                  <c:v>42422.0</c:v>
                </c:pt>
                <c:pt idx="9">
                  <c:v>42429.0</c:v>
                </c:pt>
                <c:pt idx="10">
                  <c:v>42436.0</c:v>
                </c:pt>
                <c:pt idx="11">
                  <c:v>42443.0</c:v>
                </c:pt>
                <c:pt idx="12">
                  <c:v>42450.0</c:v>
                </c:pt>
                <c:pt idx="13">
                  <c:v>42457.0</c:v>
                </c:pt>
                <c:pt idx="14">
                  <c:v>42464.0</c:v>
                </c:pt>
                <c:pt idx="15">
                  <c:v>42471.0</c:v>
                </c:pt>
                <c:pt idx="16">
                  <c:v>42478.0</c:v>
                </c:pt>
                <c:pt idx="17">
                  <c:v>42485.0</c:v>
                </c:pt>
                <c:pt idx="18">
                  <c:v>42492.0</c:v>
                </c:pt>
                <c:pt idx="19">
                  <c:v>42499.0</c:v>
                </c:pt>
                <c:pt idx="20">
                  <c:v>42506.0</c:v>
                </c:pt>
                <c:pt idx="21">
                  <c:v>42513.0</c:v>
                </c:pt>
                <c:pt idx="22">
                  <c:v>42520.0</c:v>
                </c:pt>
                <c:pt idx="23">
                  <c:v>42527.0</c:v>
                </c:pt>
                <c:pt idx="24">
                  <c:v>42534.0</c:v>
                </c:pt>
                <c:pt idx="25">
                  <c:v>42541.0</c:v>
                </c:pt>
                <c:pt idx="26">
                  <c:v>42548.0</c:v>
                </c:pt>
                <c:pt idx="27">
                  <c:v>42555.0</c:v>
                </c:pt>
                <c:pt idx="28">
                  <c:v>42562.0</c:v>
                </c:pt>
                <c:pt idx="29">
                  <c:v>42569.0</c:v>
                </c:pt>
                <c:pt idx="30">
                  <c:v>42576.0</c:v>
                </c:pt>
                <c:pt idx="31">
                  <c:v>42583.0</c:v>
                </c:pt>
                <c:pt idx="32">
                  <c:v>42590.0</c:v>
                </c:pt>
                <c:pt idx="33">
                  <c:v>42597.0</c:v>
                </c:pt>
                <c:pt idx="34">
                  <c:v>42604.0</c:v>
                </c:pt>
                <c:pt idx="35">
                  <c:v>42611.0</c:v>
                </c:pt>
                <c:pt idx="36">
                  <c:v>42618.0</c:v>
                </c:pt>
                <c:pt idx="37">
                  <c:v>42625.0</c:v>
                </c:pt>
                <c:pt idx="38">
                  <c:v>42632.0</c:v>
                </c:pt>
                <c:pt idx="39">
                  <c:v>42639.0</c:v>
                </c:pt>
                <c:pt idx="40">
                  <c:v>42646.0</c:v>
                </c:pt>
                <c:pt idx="41">
                  <c:v>42653.0</c:v>
                </c:pt>
                <c:pt idx="42">
                  <c:v>42660.0</c:v>
                </c:pt>
                <c:pt idx="43">
                  <c:v>42667.0</c:v>
                </c:pt>
                <c:pt idx="44">
                  <c:v>42674.0</c:v>
                </c:pt>
                <c:pt idx="45">
                  <c:v>42681.0</c:v>
                </c:pt>
                <c:pt idx="46">
                  <c:v>42688.0</c:v>
                </c:pt>
                <c:pt idx="47">
                  <c:v>42695.0</c:v>
                </c:pt>
                <c:pt idx="48">
                  <c:v>42702.0</c:v>
                </c:pt>
                <c:pt idx="49">
                  <c:v>42709.0</c:v>
                </c:pt>
                <c:pt idx="50">
                  <c:v>42716.0</c:v>
                </c:pt>
                <c:pt idx="51">
                  <c:v>42723.0</c:v>
                </c:pt>
                <c:pt idx="52">
                  <c:v>42730.0</c:v>
                </c:pt>
                <c:pt idx="53">
                  <c:v>42737.0</c:v>
                </c:pt>
                <c:pt idx="54">
                  <c:v>42744.0</c:v>
                </c:pt>
                <c:pt idx="55">
                  <c:v>42751.0</c:v>
                </c:pt>
                <c:pt idx="56">
                  <c:v>42758.0</c:v>
                </c:pt>
                <c:pt idx="57">
                  <c:v>42765.0</c:v>
                </c:pt>
                <c:pt idx="58">
                  <c:v>42772.0</c:v>
                </c:pt>
                <c:pt idx="59">
                  <c:v>42779.0</c:v>
                </c:pt>
                <c:pt idx="60">
                  <c:v>42786.0</c:v>
                </c:pt>
                <c:pt idx="61">
                  <c:v>42793.0</c:v>
                </c:pt>
                <c:pt idx="62">
                  <c:v>42800.0</c:v>
                </c:pt>
                <c:pt idx="63">
                  <c:v>42807.0</c:v>
                </c:pt>
                <c:pt idx="64">
                  <c:v>42814.0</c:v>
                </c:pt>
                <c:pt idx="65">
                  <c:v>42821.0</c:v>
                </c:pt>
                <c:pt idx="66">
                  <c:v>42828.0</c:v>
                </c:pt>
                <c:pt idx="67">
                  <c:v>42835.0</c:v>
                </c:pt>
                <c:pt idx="68">
                  <c:v>42842.0</c:v>
                </c:pt>
                <c:pt idx="69">
                  <c:v>42849.0</c:v>
                </c:pt>
                <c:pt idx="70">
                  <c:v>42856.0</c:v>
                </c:pt>
                <c:pt idx="71">
                  <c:v>42863.0</c:v>
                </c:pt>
                <c:pt idx="72">
                  <c:v>42870.0</c:v>
                </c:pt>
                <c:pt idx="73">
                  <c:v>42877.0</c:v>
                </c:pt>
                <c:pt idx="74">
                  <c:v>42884.0</c:v>
                </c:pt>
                <c:pt idx="75">
                  <c:v>42891.0</c:v>
                </c:pt>
                <c:pt idx="76">
                  <c:v>42898.0</c:v>
                </c:pt>
                <c:pt idx="77">
                  <c:v>42905.0</c:v>
                </c:pt>
                <c:pt idx="78">
                  <c:v>42912.0</c:v>
                </c:pt>
                <c:pt idx="79">
                  <c:v>42919.0</c:v>
                </c:pt>
                <c:pt idx="80">
                  <c:v>42926.0</c:v>
                </c:pt>
                <c:pt idx="81">
                  <c:v>42933.0</c:v>
                </c:pt>
                <c:pt idx="82">
                  <c:v>42940.0</c:v>
                </c:pt>
                <c:pt idx="83">
                  <c:v>42947.0</c:v>
                </c:pt>
                <c:pt idx="84">
                  <c:v>42954.0</c:v>
                </c:pt>
                <c:pt idx="85">
                  <c:v>42961.0</c:v>
                </c:pt>
                <c:pt idx="86">
                  <c:v>42968.0</c:v>
                </c:pt>
                <c:pt idx="87">
                  <c:v>42975.0</c:v>
                </c:pt>
                <c:pt idx="88">
                  <c:v>42982.0</c:v>
                </c:pt>
                <c:pt idx="89">
                  <c:v>42989.0</c:v>
                </c:pt>
                <c:pt idx="90">
                  <c:v>42996.0</c:v>
                </c:pt>
                <c:pt idx="91">
                  <c:v>43003.0</c:v>
                </c:pt>
                <c:pt idx="92">
                  <c:v>43010.0</c:v>
                </c:pt>
                <c:pt idx="93">
                  <c:v>43017.0</c:v>
                </c:pt>
                <c:pt idx="94">
                  <c:v>43024.0</c:v>
                </c:pt>
                <c:pt idx="95">
                  <c:v>43031.0</c:v>
                </c:pt>
                <c:pt idx="96">
                  <c:v>43038.0</c:v>
                </c:pt>
                <c:pt idx="97">
                  <c:v>43045.0</c:v>
                </c:pt>
                <c:pt idx="98">
                  <c:v>43052.0</c:v>
                </c:pt>
                <c:pt idx="99">
                  <c:v>43059.0</c:v>
                </c:pt>
                <c:pt idx="100">
                  <c:v>43066.0</c:v>
                </c:pt>
                <c:pt idx="101">
                  <c:v>43073.0</c:v>
                </c:pt>
                <c:pt idx="102">
                  <c:v>43080.0</c:v>
                </c:pt>
                <c:pt idx="103">
                  <c:v>43087.0</c:v>
                </c:pt>
                <c:pt idx="104">
                  <c:v>43094.0</c:v>
                </c:pt>
              </c:numCache>
            </c:numRef>
          </c:cat>
          <c:val>
            <c:numRef>
              <c:f>'Unconstrained EF (Q4)'!$D$2:$D$106</c:f>
              <c:numCache>
                <c:formatCode>General</c:formatCode>
                <c:ptCount val="105"/>
                <c:pt idx="0">
                  <c:v>126.577583</c:v>
                </c:pt>
                <c:pt idx="1">
                  <c:v>118.585739</c:v>
                </c:pt>
                <c:pt idx="2">
                  <c:v>114.116035</c:v>
                </c:pt>
                <c:pt idx="3">
                  <c:v>117.494629</c:v>
                </c:pt>
                <c:pt idx="4">
                  <c:v>120.365967</c:v>
                </c:pt>
                <c:pt idx="5">
                  <c:v>111.436127</c:v>
                </c:pt>
                <c:pt idx="6">
                  <c:v>111.330856</c:v>
                </c:pt>
                <c:pt idx="7">
                  <c:v>116.470535</c:v>
                </c:pt>
                <c:pt idx="8">
                  <c:v>120.844521</c:v>
                </c:pt>
                <c:pt idx="9">
                  <c:v>120.17453</c:v>
                </c:pt>
                <c:pt idx="10">
                  <c:v>122.950157</c:v>
                </c:pt>
                <c:pt idx="11">
                  <c:v>126.407478</c:v>
                </c:pt>
                <c:pt idx="12">
                  <c:v>125.55098</c:v>
                </c:pt>
                <c:pt idx="13">
                  <c:v>129.775803</c:v>
                </c:pt>
                <c:pt idx="14">
                  <c:v>128.592072</c:v>
                </c:pt>
                <c:pt idx="15">
                  <c:v>129.929794</c:v>
                </c:pt>
                <c:pt idx="16">
                  <c:v>130.555298</c:v>
                </c:pt>
                <c:pt idx="17">
                  <c:v>128.851913</c:v>
                </c:pt>
                <c:pt idx="18">
                  <c:v>130.593796</c:v>
                </c:pt>
                <c:pt idx="19">
                  <c:v>128.120529</c:v>
                </c:pt>
                <c:pt idx="20">
                  <c:v>126.888687</c:v>
                </c:pt>
                <c:pt idx="21">
                  <c:v>128.900024</c:v>
                </c:pt>
                <c:pt idx="22">
                  <c:v>126.782822</c:v>
                </c:pt>
                <c:pt idx="23">
                  <c:v>124.624321</c:v>
                </c:pt>
                <c:pt idx="24">
                  <c:v>122.989494</c:v>
                </c:pt>
                <c:pt idx="25">
                  <c:v>122.273659</c:v>
                </c:pt>
                <c:pt idx="26">
                  <c:v>125.388527</c:v>
                </c:pt>
                <c:pt idx="27">
                  <c:v>129.954437</c:v>
                </c:pt>
                <c:pt idx="28">
                  <c:v>130.380066</c:v>
                </c:pt>
                <c:pt idx="29">
                  <c:v>132.063278</c:v>
                </c:pt>
                <c:pt idx="30">
                  <c:v>133.727158</c:v>
                </c:pt>
                <c:pt idx="31">
                  <c:v>132.440567</c:v>
                </c:pt>
                <c:pt idx="32">
                  <c:v>132.111649</c:v>
                </c:pt>
                <c:pt idx="33">
                  <c:v>131.037903</c:v>
                </c:pt>
                <c:pt idx="34">
                  <c:v>129.973801</c:v>
                </c:pt>
                <c:pt idx="35">
                  <c:v>130.737991</c:v>
                </c:pt>
                <c:pt idx="36">
                  <c:v>124.203598</c:v>
                </c:pt>
                <c:pt idx="37">
                  <c:v>122.618721</c:v>
                </c:pt>
                <c:pt idx="38">
                  <c:v>124.25222</c:v>
                </c:pt>
                <c:pt idx="39">
                  <c:v>125.117584</c:v>
                </c:pt>
                <c:pt idx="40">
                  <c:v>124.757813</c:v>
                </c:pt>
                <c:pt idx="41">
                  <c:v>122.920151</c:v>
                </c:pt>
                <c:pt idx="42">
                  <c:v>123.095154</c:v>
                </c:pt>
                <c:pt idx="43">
                  <c:v>120.158768</c:v>
                </c:pt>
                <c:pt idx="44">
                  <c:v>117.562683</c:v>
                </c:pt>
                <c:pt idx="45">
                  <c:v>126.255196</c:v>
                </c:pt>
                <c:pt idx="46">
                  <c:v>124.777275</c:v>
                </c:pt>
                <c:pt idx="47">
                  <c:v>127.927574</c:v>
                </c:pt>
                <c:pt idx="48">
                  <c:v>126.274628</c:v>
                </c:pt>
                <c:pt idx="49">
                  <c:v>130.385834</c:v>
                </c:pt>
                <c:pt idx="50">
                  <c:v>132.067093</c:v>
                </c:pt>
                <c:pt idx="51">
                  <c:v>132.008453</c:v>
                </c:pt>
                <c:pt idx="52">
                  <c:v>131.060303</c:v>
                </c:pt>
                <c:pt idx="53">
                  <c:v>130.52269</c:v>
                </c:pt>
                <c:pt idx="54">
                  <c:v>131.998688</c:v>
                </c:pt>
                <c:pt idx="55">
                  <c:v>132.546082</c:v>
                </c:pt>
                <c:pt idx="56">
                  <c:v>135.214569</c:v>
                </c:pt>
                <c:pt idx="57">
                  <c:v>134.872467</c:v>
                </c:pt>
                <c:pt idx="58">
                  <c:v>136.700363</c:v>
                </c:pt>
                <c:pt idx="59">
                  <c:v>139.779404</c:v>
                </c:pt>
                <c:pt idx="60">
                  <c:v>142.662964</c:v>
                </c:pt>
                <c:pt idx="61">
                  <c:v>144.481064</c:v>
                </c:pt>
                <c:pt idx="62">
                  <c:v>143.542709</c:v>
                </c:pt>
                <c:pt idx="63">
                  <c:v>147.120728</c:v>
                </c:pt>
                <c:pt idx="64">
                  <c:v>145.262039</c:v>
                </c:pt>
                <c:pt idx="65">
                  <c:v>144.396637</c:v>
                </c:pt>
                <c:pt idx="66">
                  <c:v>144.691666</c:v>
                </c:pt>
                <c:pt idx="67">
                  <c:v>143.491867</c:v>
                </c:pt>
                <c:pt idx="68">
                  <c:v>147.514084</c:v>
                </c:pt>
                <c:pt idx="69">
                  <c:v>153.513</c:v>
                </c:pt>
                <c:pt idx="70">
                  <c:v>153.149109</c:v>
                </c:pt>
                <c:pt idx="71">
                  <c:v>154.319397</c:v>
                </c:pt>
                <c:pt idx="72">
                  <c:v>153.709686</c:v>
                </c:pt>
                <c:pt idx="73">
                  <c:v>152.33287</c:v>
                </c:pt>
                <c:pt idx="74">
                  <c:v>152.775421</c:v>
                </c:pt>
                <c:pt idx="75">
                  <c:v>151.294312</c:v>
                </c:pt>
                <c:pt idx="76">
                  <c:v>154.934235</c:v>
                </c:pt>
                <c:pt idx="77">
                  <c:v>149.662277</c:v>
                </c:pt>
                <c:pt idx="78">
                  <c:v>151.729507</c:v>
                </c:pt>
                <c:pt idx="79">
                  <c:v>150.57225</c:v>
                </c:pt>
                <c:pt idx="80">
                  <c:v>151.215195</c:v>
                </c:pt>
                <c:pt idx="81">
                  <c:v>145.053024</c:v>
                </c:pt>
                <c:pt idx="82">
                  <c:v>146.467453</c:v>
                </c:pt>
                <c:pt idx="83">
                  <c:v>151.086594</c:v>
                </c:pt>
                <c:pt idx="84">
                  <c:v>153.193405</c:v>
                </c:pt>
                <c:pt idx="85">
                  <c:v>145.883881</c:v>
                </c:pt>
                <c:pt idx="86">
                  <c:v>148.02034</c:v>
                </c:pt>
                <c:pt idx="87">
                  <c:v>149.138046</c:v>
                </c:pt>
                <c:pt idx="88">
                  <c:v>158.85524</c:v>
                </c:pt>
                <c:pt idx="89">
                  <c:v>157.601578</c:v>
                </c:pt>
                <c:pt idx="90">
                  <c:v>159.163681</c:v>
                </c:pt>
                <c:pt idx="91">
                  <c:v>162.73558</c:v>
                </c:pt>
                <c:pt idx="92">
                  <c:v>165.014038</c:v>
                </c:pt>
                <c:pt idx="93">
                  <c:v>163.640991</c:v>
                </c:pt>
                <c:pt idx="94">
                  <c:v>162.606232</c:v>
                </c:pt>
                <c:pt idx="95">
                  <c:v>166.496521</c:v>
                </c:pt>
                <c:pt idx="96">
                  <c:v>163.561401</c:v>
                </c:pt>
                <c:pt idx="97">
                  <c:v>163.282806</c:v>
                </c:pt>
                <c:pt idx="98">
                  <c:v>166.894516</c:v>
                </c:pt>
                <c:pt idx="99">
                  <c:v>171.46138</c:v>
                </c:pt>
                <c:pt idx="100">
                  <c:v>179.51059</c:v>
                </c:pt>
                <c:pt idx="101">
                  <c:v>183.410004</c:v>
                </c:pt>
                <c:pt idx="102">
                  <c:v>182.580002</c:v>
                </c:pt>
                <c:pt idx="103">
                  <c:v>188.130005</c:v>
                </c:pt>
                <c:pt idx="104">
                  <c:v>189.529999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762-0A49-B93A-E5247272120B}"/>
            </c:ext>
          </c:extLst>
        </c:ser>
        <c:ser>
          <c:idx val="3"/>
          <c:order val="1"/>
          <c:tx>
            <c:v>LQD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42366.0</c:v>
                </c:pt>
                <c:pt idx="1">
                  <c:v>42373.0</c:v>
                </c:pt>
                <c:pt idx="2">
                  <c:v>42380.0</c:v>
                </c:pt>
                <c:pt idx="3">
                  <c:v>42387.0</c:v>
                </c:pt>
                <c:pt idx="4">
                  <c:v>42394.0</c:v>
                </c:pt>
                <c:pt idx="5">
                  <c:v>42401.0</c:v>
                </c:pt>
                <c:pt idx="6">
                  <c:v>42408.0</c:v>
                </c:pt>
                <c:pt idx="7">
                  <c:v>42415.0</c:v>
                </c:pt>
                <c:pt idx="8">
                  <c:v>42422.0</c:v>
                </c:pt>
                <c:pt idx="9">
                  <c:v>42429.0</c:v>
                </c:pt>
                <c:pt idx="10">
                  <c:v>42436.0</c:v>
                </c:pt>
                <c:pt idx="11">
                  <c:v>42443.0</c:v>
                </c:pt>
                <c:pt idx="12">
                  <c:v>42450.0</c:v>
                </c:pt>
                <c:pt idx="13">
                  <c:v>42457.0</c:v>
                </c:pt>
                <c:pt idx="14">
                  <c:v>42464.0</c:v>
                </c:pt>
                <c:pt idx="15">
                  <c:v>42471.0</c:v>
                </c:pt>
                <c:pt idx="16">
                  <c:v>42478.0</c:v>
                </c:pt>
                <c:pt idx="17">
                  <c:v>42485.0</c:v>
                </c:pt>
                <c:pt idx="18">
                  <c:v>42492.0</c:v>
                </c:pt>
                <c:pt idx="19">
                  <c:v>42499.0</c:v>
                </c:pt>
                <c:pt idx="20">
                  <c:v>42506.0</c:v>
                </c:pt>
                <c:pt idx="21">
                  <c:v>42513.0</c:v>
                </c:pt>
                <c:pt idx="22">
                  <c:v>42520.0</c:v>
                </c:pt>
                <c:pt idx="23">
                  <c:v>42527.0</c:v>
                </c:pt>
                <c:pt idx="24">
                  <c:v>42534.0</c:v>
                </c:pt>
                <c:pt idx="25">
                  <c:v>42541.0</c:v>
                </c:pt>
                <c:pt idx="26">
                  <c:v>42548.0</c:v>
                </c:pt>
                <c:pt idx="27">
                  <c:v>42555.0</c:v>
                </c:pt>
                <c:pt idx="28">
                  <c:v>42562.0</c:v>
                </c:pt>
                <c:pt idx="29">
                  <c:v>42569.0</c:v>
                </c:pt>
                <c:pt idx="30">
                  <c:v>42576.0</c:v>
                </c:pt>
                <c:pt idx="31">
                  <c:v>42583.0</c:v>
                </c:pt>
                <c:pt idx="32">
                  <c:v>42590.0</c:v>
                </c:pt>
                <c:pt idx="33">
                  <c:v>42597.0</c:v>
                </c:pt>
                <c:pt idx="34">
                  <c:v>42604.0</c:v>
                </c:pt>
                <c:pt idx="35">
                  <c:v>42611.0</c:v>
                </c:pt>
                <c:pt idx="36">
                  <c:v>42618.0</c:v>
                </c:pt>
                <c:pt idx="37">
                  <c:v>42625.0</c:v>
                </c:pt>
                <c:pt idx="38">
                  <c:v>42632.0</c:v>
                </c:pt>
                <c:pt idx="39">
                  <c:v>42639.0</c:v>
                </c:pt>
                <c:pt idx="40">
                  <c:v>42646.0</c:v>
                </c:pt>
                <c:pt idx="41">
                  <c:v>42653.0</c:v>
                </c:pt>
                <c:pt idx="42">
                  <c:v>42660.0</c:v>
                </c:pt>
                <c:pt idx="43">
                  <c:v>42667.0</c:v>
                </c:pt>
                <c:pt idx="44">
                  <c:v>42674.0</c:v>
                </c:pt>
                <c:pt idx="45">
                  <c:v>42681.0</c:v>
                </c:pt>
                <c:pt idx="46">
                  <c:v>42688.0</c:v>
                </c:pt>
                <c:pt idx="47">
                  <c:v>42695.0</c:v>
                </c:pt>
                <c:pt idx="48">
                  <c:v>42702.0</c:v>
                </c:pt>
                <c:pt idx="49">
                  <c:v>42709.0</c:v>
                </c:pt>
                <c:pt idx="50">
                  <c:v>42716.0</c:v>
                </c:pt>
                <c:pt idx="51">
                  <c:v>42723.0</c:v>
                </c:pt>
                <c:pt idx="52">
                  <c:v>42730.0</c:v>
                </c:pt>
                <c:pt idx="53">
                  <c:v>42737.0</c:v>
                </c:pt>
                <c:pt idx="54">
                  <c:v>42744.0</c:v>
                </c:pt>
                <c:pt idx="55">
                  <c:v>42751.0</c:v>
                </c:pt>
                <c:pt idx="56">
                  <c:v>42758.0</c:v>
                </c:pt>
                <c:pt idx="57">
                  <c:v>42765.0</c:v>
                </c:pt>
                <c:pt idx="58">
                  <c:v>42772.0</c:v>
                </c:pt>
                <c:pt idx="59">
                  <c:v>42779.0</c:v>
                </c:pt>
                <c:pt idx="60">
                  <c:v>42786.0</c:v>
                </c:pt>
                <c:pt idx="61">
                  <c:v>42793.0</c:v>
                </c:pt>
                <c:pt idx="62">
                  <c:v>42800.0</c:v>
                </c:pt>
                <c:pt idx="63">
                  <c:v>42807.0</c:v>
                </c:pt>
                <c:pt idx="64">
                  <c:v>42814.0</c:v>
                </c:pt>
                <c:pt idx="65">
                  <c:v>42821.0</c:v>
                </c:pt>
                <c:pt idx="66">
                  <c:v>42828.0</c:v>
                </c:pt>
                <c:pt idx="67">
                  <c:v>42835.0</c:v>
                </c:pt>
                <c:pt idx="68">
                  <c:v>42842.0</c:v>
                </c:pt>
                <c:pt idx="69">
                  <c:v>42849.0</c:v>
                </c:pt>
                <c:pt idx="70">
                  <c:v>42856.0</c:v>
                </c:pt>
                <c:pt idx="71">
                  <c:v>42863.0</c:v>
                </c:pt>
                <c:pt idx="72">
                  <c:v>42870.0</c:v>
                </c:pt>
                <c:pt idx="73">
                  <c:v>42877.0</c:v>
                </c:pt>
                <c:pt idx="74">
                  <c:v>42884.0</c:v>
                </c:pt>
                <c:pt idx="75">
                  <c:v>42891.0</c:v>
                </c:pt>
                <c:pt idx="76">
                  <c:v>42898.0</c:v>
                </c:pt>
                <c:pt idx="77">
                  <c:v>42905.0</c:v>
                </c:pt>
                <c:pt idx="78">
                  <c:v>42912.0</c:v>
                </c:pt>
                <c:pt idx="79">
                  <c:v>42919.0</c:v>
                </c:pt>
                <c:pt idx="80">
                  <c:v>42926.0</c:v>
                </c:pt>
                <c:pt idx="81">
                  <c:v>42933.0</c:v>
                </c:pt>
                <c:pt idx="82">
                  <c:v>42940.0</c:v>
                </c:pt>
                <c:pt idx="83">
                  <c:v>42947.0</c:v>
                </c:pt>
                <c:pt idx="84">
                  <c:v>42954.0</c:v>
                </c:pt>
                <c:pt idx="85">
                  <c:v>42961.0</c:v>
                </c:pt>
                <c:pt idx="86">
                  <c:v>42968.0</c:v>
                </c:pt>
                <c:pt idx="87">
                  <c:v>42975.0</c:v>
                </c:pt>
                <c:pt idx="88">
                  <c:v>42982.0</c:v>
                </c:pt>
                <c:pt idx="89">
                  <c:v>42989.0</c:v>
                </c:pt>
                <c:pt idx="90">
                  <c:v>42996.0</c:v>
                </c:pt>
                <c:pt idx="91">
                  <c:v>43003.0</c:v>
                </c:pt>
                <c:pt idx="92">
                  <c:v>43010.0</c:v>
                </c:pt>
                <c:pt idx="93">
                  <c:v>43017.0</c:v>
                </c:pt>
                <c:pt idx="94">
                  <c:v>43024.0</c:v>
                </c:pt>
                <c:pt idx="95">
                  <c:v>43031.0</c:v>
                </c:pt>
                <c:pt idx="96">
                  <c:v>43038.0</c:v>
                </c:pt>
                <c:pt idx="97">
                  <c:v>43045.0</c:v>
                </c:pt>
                <c:pt idx="98">
                  <c:v>43052.0</c:v>
                </c:pt>
                <c:pt idx="99">
                  <c:v>43059.0</c:v>
                </c:pt>
                <c:pt idx="100">
                  <c:v>43066.0</c:v>
                </c:pt>
                <c:pt idx="101">
                  <c:v>43073.0</c:v>
                </c:pt>
                <c:pt idx="102">
                  <c:v>43080.0</c:v>
                </c:pt>
                <c:pt idx="103">
                  <c:v>43087.0</c:v>
                </c:pt>
                <c:pt idx="104">
                  <c:v>43094.0</c:v>
                </c:pt>
              </c:numCache>
            </c:numRef>
          </c:cat>
          <c:val>
            <c:numRef>
              <c:f>'Unconstrained EF (Q4)'!$H$2:$H$106</c:f>
              <c:numCache>
                <c:formatCode>General</c:formatCode>
                <c:ptCount val="105"/>
                <c:pt idx="0">
                  <c:v>106.629692</c:v>
                </c:pt>
                <c:pt idx="1">
                  <c:v>107.218925</c:v>
                </c:pt>
                <c:pt idx="2">
                  <c:v>106.751297</c:v>
                </c:pt>
                <c:pt idx="3">
                  <c:v>106.190117</c:v>
                </c:pt>
                <c:pt idx="4">
                  <c:v>106.76062</c:v>
                </c:pt>
                <c:pt idx="5">
                  <c:v>106.06852</c:v>
                </c:pt>
                <c:pt idx="6">
                  <c:v>106.457649</c:v>
                </c:pt>
                <c:pt idx="7">
                  <c:v>106.710938</c:v>
                </c:pt>
                <c:pt idx="8">
                  <c:v>107.808418</c:v>
                </c:pt>
                <c:pt idx="9">
                  <c:v>107.686485</c:v>
                </c:pt>
                <c:pt idx="10">
                  <c:v>109.336952</c:v>
                </c:pt>
                <c:pt idx="11">
                  <c:v>110.738724</c:v>
                </c:pt>
                <c:pt idx="12">
                  <c:v>110.908073</c:v>
                </c:pt>
                <c:pt idx="13">
                  <c:v>111.83004</c:v>
                </c:pt>
                <c:pt idx="14">
                  <c:v>112.464119</c:v>
                </c:pt>
                <c:pt idx="15">
                  <c:v>112.794296</c:v>
                </c:pt>
                <c:pt idx="16">
                  <c:v>112.888657</c:v>
                </c:pt>
                <c:pt idx="17">
                  <c:v>113.520744</c:v>
                </c:pt>
                <c:pt idx="18">
                  <c:v>113.058479</c:v>
                </c:pt>
                <c:pt idx="19">
                  <c:v>113.534927</c:v>
                </c:pt>
                <c:pt idx="20">
                  <c:v>112.494377</c:v>
                </c:pt>
                <c:pt idx="21">
                  <c:v>112.740311</c:v>
                </c:pt>
                <c:pt idx="22">
                  <c:v>113.837646</c:v>
                </c:pt>
                <c:pt idx="23">
                  <c:v>114.726173</c:v>
                </c:pt>
                <c:pt idx="24">
                  <c:v>114.55542</c:v>
                </c:pt>
                <c:pt idx="25">
                  <c:v>114.944366</c:v>
                </c:pt>
                <c:pt idx="26">
                  <c:v>116.727768</c:v>
                </c:pt>
                <c:pt idx="27">
                  <c:v>118.327492</c:v>
                </c:pt>
                <c:pt idx="28">
                  <c:v>117.081459</c:v>
                </c:pt>
                <c:pt idx="29">
                  <c:v>117.319229</c:v>
                </c:pt>
                <c:pt idx="30">
                  <c:v>117.937515</c:v>
                </c:pt>
                <c:pt idx="31">
                  <c:v>116.482208</c:v>
                </c:pt>
                <c:pt idx="32">
                  <c:v>118.026207</c:v>
                </c:pt>
                <c:pt idx="33">
                  <c:v>117.71151</c:v>
                </c:pt>
                <c:pt idx="34">
                  <c:v>117.682877</c:v>
                </c:pt>
                <c:pt idx="35">
                  <c:v>117.635201</c:v>
                </c:pt>
                <c:pt idx="36">
                  <c:v>116.476746</c:v>
                </c:pt>
                <c:pt idx="37">
                  <c:v>116.390686</c:v>
                </c:pt>
                <c:pt idx="38">
                  <c:v>117.49025</c:v>
                </c:pt>
                <c:pt idx="39">
                  <c:v>117.777107</c:v>
                </c:pt>
                <c:pt idx="40">
                  <c:v>116.754044</c:v>
                </c:pt>
                <c:pt idx="41">
                  <c:v>116.590302</c:v>
                </c:pt>
                <c:pt idx="42">
                  <c:v>117.443504</c:v>
                </c:pt>
                <c:pt idx="43">
                  <c:v>115.871323</c:v>
                </c:pt>
                <c:pt idx="44">
                  <c:v>115.813797</c:v>
                </c:pt>
                <c:pt idx="45">
                  <c:v>113.495033</c:v>
                </c:pt>
                <c:pt idx="46">
                  <c:v>112.062889</c:v>
                </c:pt>
                <c:pt idx="47">
                  <c:v>112.062889</c:v>
                </c:pt>
                <c:pt idx="48">
                  <c:v>111.880264</c:v>
                </c:pt>
                <c:pt idx="49">
                  <c:v>111.991867</c:v>
                </c:pt>
                <c:pt idx="50">
                  <c:v>111.413589</c:v>
                </c:pt>
                <c:pt idx="51">
                  <c:v>112.117172</c:v>
                </c:pt>
                <c:pt idx="52">
                  <c:v>113.245605</c:v>
                </c:pt>
                <c:pt idx="53">
                  <c:v>113.73848</c:v>
                </c:pt>
                <c:pt idx="54">
                  <c:v>113.825462</c:v>
                </c:pt>
                <c:pt idx="55">
                  <c:v>113.380898</c:v>
                </c:pt>
                <c:pt idx="56">
                  <c:v>113.400215</c:v>
                </c:pt>
                <c:pt idx="57">
                  <c:v>113.119957</c:v>
                </c:pt>
                <c:pt idx="58">
                  <c:v>113.890541</c:v>
                </c:pt>
                <c:pt idx="59">
                  <c:v>114.09404</c:v>
                </c:pt>
                <c:pt idx="60">
                  <c:v>115.10183</c:v>
                </c:pt>
                <c:pt idx="61">
                  <c:v>113.861465</c:v>
                </c:pt>
                <c:pt idx="62">
                  <c:v>112.722733</c:v>
                </c:pt>
                <c:pt idx="63">
                  <c:v>113.509789</c:v>
                </c:pt>
                <c:pt idx="64">
                  <c:v>114.384293</c:v>
                </c:pt>
                <c:pt idx="65">
                  <c:v>114.568916</c:v>
                </c:pt>
                <c:pt idx="66">
                  <c:v>114.442589</c:v>
                </c:pt>
                <c:pt idx="67">
                  <c:v>116.07711</c:v>
                </c:pt>
                <c:pt idx="68">
                  <c:v>116.018654</c:v>
                </c:pt>
                <c:pt idx="69">
                  <c:v>115.930969</c:v>
                </c:pt>
                <c:pt idx="70">
                  <c:v>115.35614</c:v>
                </c:pt>
                <c:pt idx="71">
                  <c:v>116.284622</c:v>
                </c:pt>
                <c:pt idx="72">
                  <c:v>117.202934</c:v>
                </c:pt>
                <c:pt idx="73">
                  <c:v>117.066162</c:v>
                </c:pt>
                <c:pt idx="74">
                  <c:v>117.740257</c:v>
                </c:pt>
                <c:pt idx="75">
                  <c:v>117.590096</c:v>
                </c:pt>
                <c:pt idx="76">
                  <c:v>118.363907</c:v>
                </c:pt>
                <c:pt idx="77">
                  <c:v>118.696953</c:v>
                </c:pt>
                <c:pt idx="78">
                  <c:v>118.040672</c:v>
                </c:pt>
                <c:pt idx="79">
                  <c:v>117.266869</c:v>
                </c:pt>
                <c:pt idx="80">
                  <c:v>118.413887</c:v>
                </c:pt>
                <c:pt idx="81">
                  <c:v>119.376366</c:v>
                </c:pt>
                <c:pt idx="82">
                  <c:v>118.944221</c:v>
                </c:pt>
                <c:pt idx="83">
                  <c:v>118.580841</c:v>
                </c:pt>
                <c:pt idx="84">
                  <c:v>118.646843</c:v>
                </c:pt>
                <c:pt idx="85">
                  <c:v>118.804398</c:v>
                </c:pt>
                <c:pt idx="86">
                  <c:v>119.355835</c:v>
                </c:pt>
                <c:pt idx="87">
                  <c:v>118.961952</c:v>
                </c:pt>
                <c:pt idx="88">
                  <c:v>119.700348</c:v>
                </c:pt>
                <c:pt idx="89">
                  <c:v>119.483139</c:v>
                </c:pt>
                <c:pt idx="90">
                  <c:v>119.443657</c:v>
                </c:pt>
                <c:pt idx="91">
                  <c:v>119.690475</c:v>
                </c:pt>
                <c:pt idx="92">
                  <c:v>119.414024</c:v>
                </c:pt>
                <c:pt idx="93">
                  <c:v>120.356697</c:v>
                </c:pt>
                <c:pt idx="94">
                  <c:v>119.841927</c:v>
                </c:pt>
                <c:pt idx="95">
                  <c:v>119.693436</c:v>
                </c:pt>
                <c:pt idx="96">
                  <c:v>119.911224</c:v>
                </c:pt>
                <c:pt idx="97">
                  <c:v>118.999031</c:v>
                </c:pt>
                <c:pt idx="98">
                  <c:v>119.564796</c:v>
                </c:pt>
                <c:pt idx="99">
                  <c:v>120.289375</c:v>
                </c:pt>
                <c:pt idx="100">
                  <c:v>119.822868</c:v>
                </c:pt>
                <c:pt idx="101">
                  <c:v>120.402222</c:v>
                </c:pt>
                <c:pt idx="102">
                  <c:v>121.208351</c:v>
                </c:pt>
                <c:pt idx="103">
                  <c:v>120.073799</c:v>
                </c:pt>
                <c:pt idx="104">
                  <c:v>121.235016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762-0A49-B93A-E5247272120B}"/>
            </c:ext>
          </c:extLst>
        </c:ser>
        <c:ser>
          <c:idx val="1"/>
          <c:order val="2"/>
          <c:tx>
            <c:v>GS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42366.0</c:v>
                </c:pt>
                <c:pt idx="1">
                  <c:v>42373.0</c:v>
                </c:pt>
                <c:pt idx="2">
                  <c:v>42380.0</c:v>
                </c:pt>
                <c:pt idx="3">
                  <c:v>42387.0</c:v>
                </c:pt>
                <c:pt idx="4">
                  <c:v>42394.0</c:v>
                </c:pt>
                <c:pt idx="5">
                  <c:v>42401.0</c:v>
                </c:pt>
                <c:pt idx="6">
                  <c:v>42408.0</c:v>
                </c:pt>
                <c:pt idx="7">
                  <c:v>42415.0</c:v>
                </c:pt>
                <c:pt idx="8">
                  <c:v>42422.0</c:v>
                </c:pt>
                <c:pt idx="9">
                  <c:v>42429.0</c:v>
                </c:pt>
                <c:pt idx="10">
                  <c:v>42436.0</c:v>
                </c:pt>
                <c:pt idx="11">
                  <c:v>42443.0</c:v>
                </c:pt>
                <c:pt idx="12">
                  <c:v>42450.0</c:v>
                </c:pt>
                <c:pt idx="13">
                  <c:v>42457.0</c:v>
                </c:pt>
                <c:pt idx="14">
                  <c:v>42464.0</c:v>
                </c:pt>
                <c:pt idx="15">
                  <c:v>42471.0</c:v>
                </c:pt>
                <c:pt idx="16">
                  <c:v>42478.0</c:v>
                </c:pt>
                <c:pt idx="17">
                  <c:v>42485.0</c:v>
                </c:pt>
                <c:pt idx="18">
                  <c:v>42492.0</c:v>
                </c:pt>
                <c:pt idx="19">
                  <c:v>42499.0</c:v>
                </c:pt>
                <c:pt idx="20">
                  <c:v>42506.0</c:v>
                </c:pt>
                <c:pt idx="21">
                  <c:v>42513.0</c:v>
                </c:pt>
                <c:pt idx="22">
                  <c:v>42520.0</c:v>
                </c:pt>
                <c:pt idx="23">
                  <c:v>42527.0</c:v>
                </c:pt>
                <c:pt idx="24">
                  <c:v>42534.0</c:v>
                </c:pt>
                <c:pt idx="25">
                  <c:v>42541.0</c:v>
                </c:pt>
                <c:pt idx="26">
                  <c:v>42548.0</c:v>
                </c:pt>
                <c:pt idx="27">
                  <c:v>42555.0</c:v>
                </c:pt>
                <c:pt idx="28">
                  <c:v>42562.0</c:v>
                </c:pt>
                <c:pt idx="29">
                  <c:v>42569.0</c:v>
                </c:pt>
                <c:pt idx="30">
                  <c:v>42576.0</c:v>
                </c:pt>
                <c:pt idx="31">
                  <c:v>42583.0</c:v>
                </c:pt>
                <c:pt idx="32">
                  <c:v>42590.0</c:v>
                </c:pt>
                <c:pt idx="33">
                  <c:v>42597.0</c:v>
                </c:pt>
                <c:pt idx="34">
                  <c:v>42604.0</c:v>
                </c:pt>
                <c:pt idx="35">
                  <c:v>42611.0</c:v>
                </c:pt>
                <c:pt idx="36">
                  <c:v>42618.0</c:v>
                </c:pt>
                <c:pt idx="37">
                  <c:v>42625.0</c:v>
                </c:pt>
                <c:pt idx="38">
                  <c:v>42632.0</c:v>
                </c:pt>
                <c:pt idx="39">
                  <c:v>42639.0</c:v>
                </c:pt>
                <c:pt idx="40">
                  <c:v>42646.0</c:v>
                </c:pt>
                <c:pt idx="41">
                  <c:v>42653.0</c:v>
                </c:pt>
                <c:pt idx="42">
                  <c:v>42660.0</c:v>
                </c:pt>
                <c:pt idx="43">
                  <c:v>42667.0</c:v>
                </c:pt>
                <c:pt idx="44">
                  <c:v>42674.0</c:v>
                </c:pt>
                <c:pt idx="45">
                  <c:v>42681.0</c:v>
                </c:pt>
                <c:pt idx="46">
                  <c:v>42688.0</c:v>
                </c:pt>
                <c:pt idx="47">
                  <c:v>42695.0</c:v>
                </c:pt>
                <c:pt idx="48">
                  <c:v>42702.0</c:v>
                </c:pt>
                <c:pt idx="49">
                  <c:v>42709.0</c:v>
                </c:pt>
                <c:pt idx="50">
                  <c:v>42716.0</c:v>
                </c:pt>
                <c:pt idx="51">
                  <c:v>42723.0</c:v>
                </c:pt>
                <c:pt idx="52">
                  <c:v>42730.0</c:v>
                </c:pt>
                <c:pt idx="53">
                  <c:v>42737.0</c:v>
                </c:pt>
                <c:pt idx="54">
                  <c:v>42744.0</c:v>
                </c:pt>
                <c:pt idx="55">
                  <c:v>42751.0</c:v>
                </c:pt>
                <c:pt idx="56">
                  <c:v>42758.0</c:v>
                </c:pt>
                <c:pt idx="57">
                  <c:v>42765.0</c:v>
                </c:pt>
                <c:pt idx="58">
                  <c:v>42772.0</c:v>
                </c:pt>
                <c:pt idx="59">
                  <c:v>42779.0</c:v>
                </c:pt>
                <c:pt idx="60">
                  <c:v>42786.0</c:v>
                </c:pt>
                <c:pt idx="61">
                  <c:v>42793.0</c:v>
                </c:pt>
                <c:pt idx="62">
                  <c:v>42800.0</c:v>
                </c:pt>
                <c:pt idx="63">
                  <c:v>42807.0</c:v>
                </c:pt>
                <c:pt idx="64">
                  <c:v>42814.0</c:v>
                </c:pt>
                <c:pt idx="65">
                  <c:v>42821.0</c:v>
                </c:pt>
                <c:pt idx="66">
                  <c:v>42828.0</c:v>
                </c:pt>
                <c:pt idx="67">
                  <c:v>42835.0</c:v>
                </c:pt>
                <c:pt idx="68">
                  <c:v>42842.0</c:v>
                </c:pt>
                <c:pt idx="69">
                  <c:v>42849.0</c:v>
                </c:pt>
                <c:pt idx="70">
                  <c:v>42856.0</c:v>
                </c:pt>
                <c:pt idx="71">
                  <c:v>42863.0</c:v>
                </c:pt>
                <c:pt idx="72">
                  <c:v>42870.0</c:v>
                </c:pt>
                <c:pt idx="73">
                  <c:v>42877.0</c:v>
                </c:pt>
                <c:pt idx="74">
                  <c:v>42884.0</c:v>
                </c:pt>
                <c:pt idx="75">
                  <c:v>42891.0</c:v>
                </c:pt>
                <c:pt idx="76">
                  <c:v>42898.0</c:v>
                </c:pt>
                <c:pt idx="77">
                  <c:v>42905.0</c:v>
                </c:pt>
                <c:pt idx="78">
                  <c:v>42912.0</c:v>
                </c:pt>
                <c:pt idx="79">
                  <c:v>42919.0</c:v>
                </c:pt>
                <c:pt idx="80">
                  <c:v>42926.0</c:v>
                </c:pt>
                <c:pt idx="81">
                  <c:v>42933.0</c:v>
                </c:pt>
                <c:pt idx="82">
                  <c:v>42940.0</c:v>
                </c:pt>
                <c:pt idx="83">
                  <c:v>42947.0</c:v>
                </c:pt>
                <c:pt idx="84">
                  <c:v>42954.0</c:v>
                </c:pt>
                <c:pt idx="85">
                  <c:v>42961.0</c:v>
                </c:pt>
                <c:pt idx="86">
                  <c:v>42968.0</c:v>
                </c:pt>
                <c:pt idx="87">
                  <c:v>42975.0</c:v>
                </c:pt>
                <c:pt idx="88">
                  <c:v>42982.0</c:v>
                </c:pt>
                <c:pt idx="89">
                  <c:v>42989.0</c:v>
                </c:pt>
                <c:pt idx="90">
                  <c:v>42996.0</c:v>
                </c:pt>
                <c:pt idx="91">
                  <c:v>43003.0</c:v>
                </c:pt>
                <c:pt idx="92">
                  <c:v>43010.0</c:v>
                </c:pt>
                <c:pt idx="93">
                  <c:v>43017.0</c:v>
                </c:pt>
                <c:pt idx="94">
                  <c:v>43024.0</c:v>
                </c:pt>
                <c:pt idx="95">
                  <c:v>43031.0</c:v>
                </c:pt>
                <c:pt idx="96">
                  <c:v>43038.0</c:v>
                </c:pt>
                <c:pt idx="97">
                  <c:v>43045.0</c:v>
                </c:pt>
                <c:pt idx="98">
                  <c:v>43052.0</c:v>
                </c:pt>
                <c:pt idx="99">
                  <c:v>43059.0</c:v>
                </c:pt>
                <c:pt idx="100">
                  <c:v>43066.0</c:v>
                </c:pt>
                <c:pt idx="101">
                  <c:v>43073.0</c:v>
                </c:pt>
                <c:pt idx="102">
                  <c:v>43080.0</c:v>
                </c:pt>
                <c:pt idx="103">
                  <c:v>43087.0</c:v>
                </c:pt>
                <c:pt idx="104">
                  <c:v>43094.0</c:v>
                </c:pt>
              </c:numCache>
            </c:numRef>
          </c:cat>
          <c:val>
            <c:numRef>
              <c:f>'Unconstrained EF (Q4)'!$B$2:$B$106</c:f>
              <c:numCache>
                <c:formatCode>General</c:formatCode>
                <c:ptCount val="105"/>
                <c:pt idx="0">
                  <c:v>175.263641</c:v>
                </c:pt>
                <c:pt idx="1">
                  <c:v>159.422531</c:v>
                </c:pt>
                <c:pt idx="2">
                  <c:v>151.322083</c:v>
                </c:pt>
                <c:pt idx="3">
                  <c:v>152.537628</c:v>
                </c:pt>
                <c:pt idx="4">
                  <c:v>157.108124</c:v>
                </c:pt>
                <c:pt idx="5">
                  <c:v>152.158386</c:v>
                </c:pt>
                <c:pt idx="6">
                  <c:v>142.103333</c:v>
                </c:pt>
                <c:pt idx="7">
                  <c:v>142.861832</c:v>
                </c:pt>
                <c:pt idx="8">
                  <c:v>146.109772</c:v>
                </c:pt>
                <c:pt idx="9">
                  <c:v>152.518173</c:v>
                </c:pt>
                <c:pt idx="10">
                  <c:v>150.348541</c:v>
                </c:pt>
                <c:pt idx="11">
                  <c:v>153.923157</c:v>
                </c:pt>
                <c:pt idx="12">
                  <c:v>149.43045</c:v>
                </c:pt>
                <c:pt idx="13">
                  <c:v>156.091339</c:v>
                </c:pt>
                <c:pt idx="14">
                  <c:v>146.773926</c:v>
                </c:pt>
                <c:pt idx="15">
                  <c:v>154.821655</c:v>
                </c:pt>
                <c:pt idx="16">
                  <c:v>162.85965</c:v>
                </c:pt>
                <c:pt idx="17">
                  <c:v>160.28125</c:v>
                </c:pt>
                <c:pt idx="18">
                  <c:v>155.143997</c:v>
                </c:pt>
                <c:pt idx="19">
                  <c:v>151.715866</c:v>
                </c:pt>
                <c:pt idx="20">
                  <c:v>150.905228</c:v>
                </c:pt>
                <c:pt idx="21">
                  <c:v>155.808121</c:v>
                </c:pt>
                <c:pt idx="22">
                  <c:v>152.661377</c:v>
                </c:pt>
                <c:pt idx="23">
                  <c:v>146.993103</c:v>
                </c:pt>
                <c:pt idx="24">
                  <c:v>142.825226</c:v>
                </c:pt>
                <c:pt idx="25">
                  <c:v>139.118301</c:v>
                </c:pt>
                <c:pt idx="26">
                  <c:v>145.384796</c:v>
                </c:pt>
                <c:pt idx="27">
                  <c:v>147.473633</c:v>
                </c:pt>
                <c:pt idx="28">
                  <c:v>158.516022</c:v>
                </c:pt>
                <c:pt idx="29">
                  <c:v>157.309799</c:v>
                </c:pt>
                <c:pt idx="30">
                  <c:v>155.740677</c:v>
                </c:pt>
                <c:pt idx="31">
                  <c:v>158.957321</c:v>
                </c:pt>
                <c:pt idx="32">
                  <c:v>160.094879</c:v>
                </c:pt>
                <c:pt idx="33">
                  <c:v>163.017288</c:v>
                </c:pt>
                <c:pt idx="34">
                  <c:v>162.762329</c:v>
                </c:pt>
                <c:pt idx="35">
                  <c:v>165.910294</c:v>
                </c:pt>
                <c:pt idx="36">
                  <c:v>165.958542</c:v>
                </c:pt>
                <c:pt idx="37">
                  <c:v>163.428329</c:v>
                </c:pt>
                <c:pt idx="38">
                  <c:v>162.571793</c:v>
                </c:pt>
                <c:pt idx="39">
                  <c:v>158.771606</c:v>
                </c:pt>
                <c:pt idx="40">
                  <c:v>167.198975</c:v>
                </c:pt>
                <c:pt idx="41">
                  <c:v>167.878311</c:v>
                </c:pt>
                <c:pt idx="42">
                  <c:v>171.964005</c:v>
                </c:pt>
                <c:pt idx="43">
                  <c:v>174.395737</c:v>
                </c:pt>
                <c:pt idx="44">
                  <c:v>173.194656</c:v>
                </c:pt>
                <c:pt idx="45">
                  <c:v>200.780563</c:v>
                </c:pt>
                <c:pt idx="46">
                  <c:v>207.091263</c:v>
                </c:pt>
                <c:pt idx="47">
                  <c:v>208.105316</c:v>
                </c:pt>
                <c:pt idx="48">
                  <c:v>219.899719</c:v>
                </c:pt>
                <c:pt idx="49">
                  <c:v>238.841324</c:v>
                </c:pt>
                <c:pt idx="50">
                  <c:v>235.928009</c:v>
                </c:pt>
                <c:pt idx="51">
                  <c:v>237.97226</c:v>
                </c:pt>
                <c:pt idx="52">
                  <c:v>236.471161</c:v>
                </c:pt>
                <c:pt idx="53">
                  <c:v>241.853333</c:v>
                </c:pt>
                <c:pt idx="54">
                  <c:v>241.260818</c:v>
                </c:pt>
                <c:pt idx="55">
                  <c:v>229.31134</c:v>
                </c:pt>
                <c:pt idx="56">
                  <c:v>234.002258</c:v>
                </c:pt>
                <c:pt idx="57">
                  <c:v>237.952484</c:v>
                </c:pt>
                <c:pt idx="58">
                  <c:v>239.700485</c:v>
                </c:pt>
                <c:pt idx="59">
                  <c:v>247.265182</c:v>
                </c:pt>
                <c:pt idx="60">
                  <c:v>244.272888</c:v>
                </c:pt>
                <c:pt idx="61">
                  <c:v>249.743958</c:v>
                </c:pt>
                <c:pt idx="62">
                  <c:v>245.931213</c:v>
                </c:pt>
                <c:pt idx="63">
                  <c:v>241.534988</c:v>
                </c:pt>
                <c:pt idx="64">
                  <c:v>226.158096</c:v>
                </c:pt>
                <c:pt idx="65">
                  <c:v>227.455185</c:v>
                </c:pt>
                <c:pt idx="66">
                  <c:v>225.633316</c:v>
                </c:pt>
                <c:pt idx="67">
                  <c:v>221.118286</c:v>
                </c:pt>
                <c:pt idx="68">
                  <c:v>214.72197</c:v>
                </c:pt>
                <c:pt idx="69">
                  <c:v>221.593536</c:v>
                </c:pt>
                <c:pt idx="70">
                  <c:v>224.63327</c:v>
                </c:pt>
                <c:pt idx="71">
                  <c:v>220.623215</c:v>
                </c:pt>
                <c:pt idx="72">
                  <c:v>213.266464</c:v>
                </c:pt>
                <c:pt idx="73">
                  <c:v>221.326202</c:v>
                </c:pt>
                <c:pt idx="74">
                  <c:v>211.206955</c:v>
                </c:pt>
                <c:pt idx="75">
                  <c:v>220.988419</c:v>
                </c:pt>
                <c:pt idx="76">
                  <c:v>220.362534</c:v>
                </c:pt>
                <c:pt idx="77">
                  <c:v>215.77269</c:v>
                </c:pt>
                <c:pt idx="78">
                  <c:v>220.451935</c:v>
                </c:pt>
                <c:pt idx="79">
                  <c:v>223.809875</c:v>
                </c:pt>
                <c:pt idx="80">
                  <c:v>227.108231</c:v>
                </c:pt>
                <c:pt idx="81">
                  <c:v>218.743164</c:v>
                </c:pt>
                <c:pt idx="82">
                  <c:v>222.150787</c:v>
                </c:pt>
                <c:pt idx="83">
                  <c:v>228.290451</c:v>
                </c:pt>
                <c:pt idx="84">
                  <c:v>222.687271</c:v>
                </c:pt>
                <c:pt idx="85">
                  <c:v>220.700317</c:v>
                </c:pt>
                <c:pt idx="86">
                  <c:v>221.018219</c:v>
                </c:pt>
                <c:pt idx="87">
                  <c:v>224.405991</c:v>
                </c:pt>
                <c:pt idx="88">
                  <c:v>216.529556</c:v>
                </c:pt>
                <c:pt idx="89">
                  <c:v>224.51445</c:v>
                </c:pt>
                <c:pt idx="90">
                  <c:v>230.306244</c:v>
                </c:pt>
                <c:pt idx="91">
                  <c:v>236.44696</c:v>
                </c:pt>
                <c:pt idx="92">
                  <c:v>245.249298</c:v>
                </c:pt>
                <c:pt idx="93">
                  <c:v>237.782761</c:v>
                </c:pt>
                <c:pt idx="94">
                  <c:v>243.963333</c:v>
                </c:pt>
                <c:pt idx="95">
                  <c:v>240.952805</c:v>
                </c:pt>
                <c:pt idx="96">
                  <c:v>243.634369</c:v>
                </c:pt>
                <c:pt idx="97">
                  <c:v>239.397675</c:v>
                </c:pt>
                <c:pt idx="98">
                  <c:v>237.274353</c:v>
                </c:pt>
                <c:pt idx="99">
                  <c:v>235.210831</c:v>
                </c:pt>
                <c:pt idx="100">
                  <c:v>248.170105</c:v>
                </c:pt>
                <c:pt idx="101">
                  <c:v>250.350006</c:v>
                </c:pt>
                <c:pt idx="102">
                  <c:v>257.170013</c:v>
                </c:pt>
                <c:pt idx="103">
                  <c:v>258.970001</c:v>
                </c:pt>
                <c:pt idx="104">
                  <c:v>254.759995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762-0A49-B93A-E5247272120B}"/>
            </c:ext>
          </c:extLst>
        </c:ser>
        <c:ser>
          <c:idx val="2"/>
          <c:order val="3"/>
          <c:tx>
            <c:v>ADTN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42366.0</c:v>
                </c:pt>
                <c:pt idx="1">
                  <c:v>42373.0</c:v>
                </c:pt>
                <c:pt idx="2">
                  <c:v>42380.0</c:v>
                </c:pt>
                <c:pt idx="3">
                  <c:v>42387.0</c:v>
                </c:pt>
                <c:pt idx="4">
                  <c:v>42394.0</c:v>
                </c:pt>
                <c:pt idx="5">
                  <c:v>42401.0</c:v>
                </c:pt>
                <c:pt idx="6">
                  <c:v>42408.0</c:v>
                </c:pt>
                <c:pt idx="7">
                  <c:v>42415.0</c:v>
                </c:pt>
                <c:pt idx="8">
                  <c:v>42422.0</c:v>
                </c:pt>
                <c:pt idx="9">
                  <c:v>42429.0</c:v>
                </c:pt>
                <c:pt idx="10">
                  <c:v>42436.0</c:v>
                </c:pt>
                <c:pt idx="11">
                  <c:v>42443.0</c:v>
                </c:pt>
                <c:pt idx="12">
                  <c:v>42450.0</c:v>
                </c:pt>
                <c:pt idx="13">
                  <c:v>42457.0</c:v>
                </c:pt>
                <c:pt idx="14">
                  <c:v>42464.0</c:v>
                </c:pt>
                <c:pt idx="15">
                  <c:v>42471.0</c:v>
                </c:pt>
                <c:pt idx="16">
                  <c:v>42478.0</c:v>
                </c:pt>
                <c:pt idx="17">
                  <c:v>42485.0</c:v>
                </c:pt>
                <c:pt idx="18">
                  <c:v>42492.0</c:v>
                </c:pt>
                <c:pt idx="19">
                  <c:v>42499.0</c:v>
                </c:pt>
                <c:pt idx="20">
                  <c:v>42506.0</c:v>
                </c:pt>
                <c:pt idx="21">
                  <c:v>42513.0</c:v>
                </c:pt>
                <c:pt idx="22">
                  <c:v>42520.0</c:v>
                </c:pt>
                <c:pt idx="23">
                  <c:v>42527.0</c:v>
                </c:pt>
                <c:pt idx="24">
                  <c:v>42534.0</c:v>
                </c:pt>
                <c:pt idx="25">
                  <c:v>42541.0</c:v>
                </c:pt>
                <c:pt idx="26">
                  <c:v>42548.0</c:v>
                </c:pt>
                <c:pt idx="27">
                  <c:v>42555.0</c:v>
                </c:pt>
                <c:pt idx="28">
                  <c:v>42562.0</c:v>
                </c:pt>
                <c:pt idx="29">
                  <c:v>42569.0</c:v>
                </c:pt>
                <c:pt idx="30">
                  <c:v>42576.0</c:v>
                </c:pt>
                <c:pt idx="31">
                  <c:v>42583.0</c:v>
                </c:pt>
                <c:pt idx="32">
                  <c:v>42590.0</c:v>
                </c:pt>
                <c:pt idx="33">
                  <c:v>42597.0</c:v>
                </c:pt>
                <c:pt idx="34">
                  <c:v>42604.0</c:v>
                </c:pt>
                <c:pt idx="35">
                  <c:v>42611.0</c:v>
                </c:pt>
                <c:pt idx="36">
                  <c:v>42618.0</c:v>
                </c:pt>
                <c:pt idx="37">
                  <c:v>42625.0</c:v>
                </c:pt>
                <c:pt idx="38">
                  <c:v>42632.0</c:v>
                </c:pt>
                <c:pt idx="39">
                  <c:v>42639.0</c:v>
                </c:pt>
                <c:pt idx="40">
                  <c:v>42646.0</c:v>
                </c:pt>
                <c:pt idx="41">
                  <c:v>42653.0</c:v>
                </c:pt>
                <c:pt idx="42">
                  <c:v>42660.0</c:v>
                </c:pt>
                <c:pt idx="43">
                  <c:v>42667.0</c:v>
                </c:pt>
                <c:pt idx="44">
                  <c:v>42674.0</c:v>
                </c:pt>
                <c:pt idx="45">
                  <c:v>42681.0</c:v>
                </c:pt>
                <c:pt idx="46">
                  <c:v>42688.0</c:v>
                </c:pt>
                <c:pt idx="47">
                  <c:v>42695.0</c:v>
                </c:pt>
                <c:pt idx="48">
                  <c:v>42702.0</c:v>
                </c:pt>
                <c:pt idx="49">
                  <c:v>42709.0</c:v>
                </c:pt>
                <c:pt idx="50">
                  <c:v>42716.0</c:v>
                </c:pt>
                <c:pt idx="51">
                  <c:v>42723.0</c:v>
                </c:pt>
                <c:pt idx="52">
                  <c:v>42730.0</c:v>
                </c:pt>
                <c:pt idx="53">
                  <c:v>42737.0</c:v>
                </c:pt>
                <c:pt idx="54">
                  <c:v>42744.0</c:v>
                </c:pt>
                <c:pt idx="55">
                  <c:v>42751.0</c:v>
                </c:pt>
                <c:pt idx="56">
                  <c:v>42758.0</c:v>
                </c:pt>
                <c:pt idx="57">
                  <c:v>42765.0</c:v>
                </c:pt>
                <c:pt idx="58">
                  <c:v>42772.0</c:v>
                </c:pt>
                <c:pt idx="59">
                  <c:v>42779.0</c:v>
                </c:pt>
                <c:pt idx="60">
                  <c:v>42786.0</c:v>
                </c:pt>
                <c:pt idx="61">
                  <c:v>42793.0</c:v>
                </c:pt>
                <c:pt idx="62">
                  <c:v>42800.0</c:v>
                </c:pt>
                <c:pt idx="63">
                  <c:v>42807.0</c:v>
                </c:pt>
                <c:pt idx="64">
                  <c:v>42814.0</c:v>
                </c:pt>
                <c:pt idx="65">
                  <c:v>42821.0</c:v>
                </c:pt>
                <c:pt idx="66">
                  <c:v>42828.0</c:v>
                </c:pt>
                <c:pt idx="67">
                  <c:v>42835.0</c:v>
                </c:pt>
                <c:pt idx="68">
                  <c:v>42842.0</c:v>
                </c:pt>
                <c:pt idx="69">
                  <c:v>42849.0</c:v>
                </c:pt>
                <c:pt idx="70">
                  <c:v>42856.0</c:v>
                </c:pt>
                <c:pt idx="71">
                  <c:v>42863.0</c:v>
                </c:pt>
                <c:pt idx="72">
                  <c:v>42870.0</c:v>
                </c:pt>
                <c:pt idx="73">
                  <c:v>42877.0</c:v>
                </c:pt>
                <c:pt idx="74">
                  <c:v>42884.0</c:v>
                </c:pt>
                <c:pt idx="75">
                  <c:v>42891.0</c:v>
                </c:pt>
                <c:pt idx="76">
                  <c:v>42898.0</c:v>
                </c:pt>
                <c:pt idx="77">
                  <c:v>42905.0</c:v>
                </c:pt>
                <c:pt idx="78">
                  <c:v>42912.0</c:v>
                </c:pt>
                <c:pt idx="79">
                  <c:v>42919.0</c:v>
                </c:pt>
                <c:pt idx="80">
                  <c:v>42926.0</c:v>
                </c:pt>
                <c:pt idx="81">
                  <c:v>42933.0</c:v>
                </c:pt>
                <c:pt idx="82">
                  <c:v>42940.0</c:v>
                </c:pt>
                <c:pt idx="83">
                  <c:v>42947.0</c:v>
                </c:pt>
                <c:pt idx="84">
                  <c:v>42954.0</c:v>
                </c:pt>
                <c:pt idx="85">
                  <c:v>42961.0</c:v>
                </c:pt>
                <c:pt idx="86">
                  <c:v>42968.0</c:v>
                </c:pt>
                <c:pt idx="87">
                  <c:v>42975.0</c:v>
                </c:pt>
                <c:pt idx="88">
                  <c:v>42982.0</c:v>
                </c:pt>
                <c:pt idx="89">
                  <c:v>42989.0</c:v>
                </c:pt>
                <c:pt idx="90">
                  <c:v>42996.0</c:v>
                </c:pt>
                <c:pt idx="91">
                  <c:v>43003.0</c:v>
                </c:pt>
                <c:pt idx="92">
                  <c:v>43010.0</c:v>
                </c:pt>
                <c:pt idx="93">
                  <c:v>43017.0</c:v>
                </c:pt>
                <c:pt idx="94">
                  <c:v>43024.0</c:v>
                </c:pt>
                <c:pt idx="95">
                  <c:v>43031.0</c:v>
                </c:pt>
                <c:pt idx="96">
                  <c:v>43038.0</c:v>
                </c:pt>
                <c:pt idx="97">
                  <c:v>43045.0</c:v>
                </c:pt>
                <c:pt idx="98">
                  <c:v>43052.0</c:v>
                </c:pt>
                <c:pt idx="99">
                  <c:v>43059.0</c:v>
                </c:pt>
                <c:pt idx="100">
                  <c:v>43066.0</c:v>
                </c:pt>
                <c:pt idx="101">
                  <c:v>43073.0</c:v>
                </c:pt>
                <c:pt idx="102">
                  <c:v>43080.0</c:v>
                </c:pt>
                <c:pt idx="103">
                  <c:v>43087.0</c:v>
                </c:pt>
                <c:pt idx="104">
                  <c:v>43094.0</c:v>
                </c:pt>
              </c:numCache>
            </c:numRef>
          </c:cat>
          <c:val>
            <c:numRef>
              <c:f>'Unconstrained EF (Q4)'!$F$2:$F$106</c:f>
              <c:numCache>
                <c:formatCode>General</c:formatCode>
                <c:ptCount val="105"/>
                <c:pt idx="0">
                  <c:v>16.512884</c:v>
                </c:pt>
                <c:pt idx="1">
                  <c:v>16.474527</c:v>
                </c:pt>
                <c:pt idx="2">
                  <c:v>16.675901</c:v>
                </c:pt>
                <c:pt idx="3">
                  <c:v>18.06636</c:v>
                </c:pt>
                <c:pt idx="4">
                  <c:v>17.414284</c:v>
                </c:pt>
                <c:pt idx="5">
                  <c:v>17.53895</c:v>
                </c:pt>
                <c:pt idx="6">
                  <c:v>17.201941</c:v>
                </c:pt>
                <c:pt idx="7">
                  <c:v>17.780155</c:v>
                </c:pt>
                <c:pt idx="8">
                  <c:v>18.107815</c:v>
                </c:pt>
                <c:pt idx="9">
                  <c:v>17.712696</c:v>
                </c:pt>
                <c:pt idx="10">
                  <c:v>18.541473</c:v>
                </c:pt>
                <c:pt idx="11">
                  <c:v>18.888403</c:v>
                </c:pt>
                <c:pt idx="12">
                  <c:v>18.695667</c:v>
                </c:pt>
                <c:pt idx="13">
                  <c:v>19.360615</c:v>
                </c:pt>
                <c:pt idx="14">
                  <c:v>19.013683</c:v>
                </c:pt>
                <c:pt idx="15">
                  <c:v>19.562988</c:v>
                </c:pt>
                <c:pt idx="16">
                  <c:v>18.724577</c:v>
                </c:pt>
                <c:pt idx="17">
                  <c:v>18.61857</c:v>
                </c:pt>
                <c:pt idx="18">
                  <c:v>18.211529</c:v>
                </c:pt>
                <c:pt idx="19">
                  <c:v>17.988844</c:v>
                </c:pt>
                <c:pt idx="20">
                  <c:v>17.930758</c:v>
                </c:pt>
                <c:pt idx="21">
                  <c:v>18.598801</c:v>
                </c:pt>
                <c:pt idx="22">
                  <c:v>18.724663</c:v>
                </c:pt>
                <c:pt idx="23">
                  <c:v>18.23089</c:v>
                </c:pt>
                <c:pt idx="24">
                  <c:v>17.911392</c:v>
                </c:pt>
                <c:pt idx="25">
                  <c:v>17.233665</c:v>
                </c:pt>
                <c:pt idx="26">
                  <c:v>18.182484</c:v>
                </c:pt>
                <c:pt idx="27">
                  <c:v>18.734348</c:v>
                </c:pt>
                <c:pt idx="28">
                  <c:v>17.47571</c:v>
                </c:pt>
                <c:pt idx="29">
                  <c:v>17.417616</c:v>
                </c:pt>
                <c:pt idx="30">
                  <c:v>17.620937</c:v>
                </c:pt>
                <c:pt idx="31">
                  <c:v>17.456984</c:v>
                </c:pt>
                <c:pt idx="32">
                  <c:v>17.719711</c:v>
                </c:pt>
                <c:pt idx="33">
                  <c:v>17.622408</c:v>
                </c:pt>
                <c:pt idx="34">
                  <c:v>17.982443</c:v>
                </c:pt>
                <c:pt idx="35">
                  <c:v>18.323019</c:v>
                </c:pt>
                <c:pt idx="36">
                  <c:v>17.865673</c:v>
                </c:pt>
                <c:pt idx="37">
                  <c:v>17.671059</c:v>
                </c:pt>
                <c:pt idx="38">
                  <c:v>18.439787</c:v>
                </c:pt>
                <c:pt idx="39">
                  <c:v>18.62467</c:v>
                </c:pt>
                <c:pt idx="40">
                  <c:v>18.877672</c:v>
                </c:pt>
                <c:pt idx="41">
                  <c:v>17.583481</c:v>
                </c:pt>
                <c:pt idx="42">
                  <c:v>18.585752</c:v>
                </c:pt>
                <c:pt idx="43">
                  <c:v>17.564018</c:v>
                </c:pt>
                <c:pt idx="44">
                  <c:v>17.418058</c:v>
                </c:pt>
                <c:pt idx="45">
                  <c:v>19.558502</c:v>
                </c:pt>
                <c:pt idx="46">
                  <c:v>19.558502</c:v>
                </c:pt>
                <c:pt idx="47">
                  <c:v>20.243052</c:v>
                </c:pt>
                <c:pt idx="48">
                  <c:v>20.096359</c:v>
                </c:pt>
                <c:pt idx="49">
                  <c:v>21.905523</c:v>
                </c:pt>
                <c:pt idx="50">
                  <c:v>22.198902</c:v>
                </c:pt>
                <c:pt idx="51">
                  <c:v>22.296692</c:v>
                </c:pt>
                <c:pt idx="52">
                  <c:v>21.856625</c:v>
                </c:pt>
                <c:pt idx="53">
                  <c:v>21.758835</c:v>
                </c:pt>
                <c:pt idx="54">
                  <c:v>21.758835</c:v>
                </c:pt>
                <c:pt idx="55">
                  <c:v>21.661041</c:v>
                </c:pt>
                <c:pt idx="56">
                  <c:v>21.318768</c:v>
                </c:pt>
                <c:pt idx="57">
                  <c:v>21.269871</c:v>
                </c:pt>
                <c:pt idx="58">
                  <c:v>21.26005</c:v>
                </c:pt>
                <c:pt idx="59">
                  <c:v>21.309153</c:v>
                </c:pt>
                <c:pt idx="60">
                  <c:v>21.26005</c:v>
                </c:pt>
                <c:pt idx="61">
                  <c:v>21.161854</c:v>
                </c:pt>
                <c:pt idx="62">
                  <c:v>20.867254</c:v>
                </c:pt>
                <c:pt idx="63">
                  <c:v>21.210953</c:v>
                </c:pt>
                <c:pt idx="64">
                  <c:v>20.719957</c:v>
                </c:pt>
                <c:pt idx="65">
                  <c:v>20.376263</c:v>
                </c:pt>
                <c:pt idx="66">
                  <c:v>19.688868</c:v>
                </c:pt>
                <c:pt idx="67">
                  <c:v>18.755981</c:v>
                </c:pt>
                <c:pt idx="68">
                  <c:v>19.296074</c:v>
                </c:pt>
                <c:pt idx="69">
                  <c:v>19.639771</c:v>
                </c:pt>
                <c:pt idx="70">
                  <c:v>19.73797</c:v>
                </c:pt>
                <c:pt idx="71">
                  <c:v>19.826746</c:v>
                </c:pt>
                <c:pt idx="72">
                  <c:v>19.284224</c:v>
                </c:pt>
                <c:pt idx="73">
                  <c:v>19.629465</c:v>
                </c:pt>
                <c:pt idx="74">
                  <c:v>20.122667</c:v>
                </c:pt>
                <c:pt idx="75">
                  <c:v>20.369268</c:v>
                </c:pt>
                <c:pt idx="76">
                  <c:v>20.122667</c:v>
                </c:pt>
                <c:pt idx="77">
                  <c:v>19.629465</c:v>
                </c:pt>
                <c:pt idx="78">
                  <c:v>20.369268</c:v>
                </c:pt>
                <c:pt idx="79">
                  <c:v>20.221308</c:v>
                </c:pt>
                <c:pt idx="80">
                  <c:v>20.122667</c:v>
                </c:pt>
                <c:pt idx="81">
                  <c:v>22.983242</c:v>
                </c:pt>
                <c:pt idx="82">
                  <c:v>22.884604</c:v>
                </c:pt>
                <c:pt idx="83">
                  <c:v>22.1448</c:v>
                </c:pt>
                <c:pt idx="84">
                  <c:v>21.586483</c:v>
                </c:pt>
                <c:pt idx="85">
                  <c:v>21.388443</c:v>
                </c:pt>
                <c:pt idx="86">
                  <c:v>22.032076</c:v>
                </c:pt>
                <c:pt idx="87">
                  <c:v>22.032076</c:v>
                </c:pt>
                <c:pt idx="88">
                  <c:v>21.487463</c:v>
                </c:pt>
                <c:pt idx="89">
                  <c:v>22.230118</c:v>
                </c:pt>
                <c:pt idx="90">
                  <c:v>22.428158</c:v>
                </c:pt>
                <c:pt idx="91">
                  <c:v>23.764935</c:v>
                </c:pt>
                <c:pt idx="92">
                  <c:v>24.012487</c:v>
                </c:pt>
                <c:pt idx="93">
                  <c:v>23.962978</c:v>
                </c:pt>
                <c:pt idx="94">
                  <c:v>21.735016</c:v>
                </c:pt>
                <c:pt idx="95">
                  <c:v>21.190401</c:v>
                </c:pt>
                <c:pt idx="96">
                  <c:v>20.645788</c:v>
                </c:pt>
                <c:pt idx="97">
                  <c:v>20.534924</c:v>
                </c:pt>
                <c:pt idx="98">
                  <c:v>21.131578</c:v>
                </c:pt>
                <c:pt idx="99">
                  <c:v>22.175728</c:v>
                </c:pt>
                <c:pt idx="100">
                  <c:v>22.672941</c:v>
                </c:pt>
                <c:pt idx="101">
                  <c:v>22.026564</c:v>
                </c:pt>
                <c:pt idx="102">
                  <c:v>21.777956</c:v>
                </c:pt>
                <c:pt idx="103">
                  <c:v>22.424334</c:v>
                </c:pt>
                <c:pt idx="104">
                  <c:v>19.242168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62-0A49-B93A-E5247272120B}"/>
            </c:ext>
          </c:extLst>
        </c:ser>
        <c:ser>
          <c:idx val="4"/>
          <c:order val="4"/>
          <c:tx>
            <c:v>TLT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(Q4)'!$A$2:$A$106</c:f>
              <c:numCache>
                <c:formatCode>m/d/yy</c:formatCode>
                <c:ptCount val="105"/>
                <c:pt idx="0">
                  <c:v>42366.0</c:v>
                </c:pt>
                <c:pt idx="1">
                  <c:v>42373.0</c:v>
                </c:pt>
                <c:pt idx="2">
                  <c:v>42380.0</c:v>
                </c:pt>
                <c:pt idx="3">
                  <c:v>42387.0</c:v>
                </c:pt>
                <c:pt idx="4">
                  <c:v>42394.0</c:v>
                </c:pt>
                <c:pt idx="5">
                  <c:v>42401.0</c:v>
                </c:pt>
                <c:pt idx="6">
                  <c:v>42408.0</c:v>
                </c:pt>
                <c:pt idx="7">
                  <c:v>42415.0</c:v>
                </c:pt>
                <c:pt idx="8">
                  <c:v>42422.0</c:v>
                </c:pt>
                <c:pt idx="9">
                  <c:v>42429.0</c:v>
                </c:pt>
                <c:pt idx="10">
                  <c:v>42436.0</c:v>
                </c:pt>
                <c:pt idx="11">
                  <c:v>42443.0</c:v>
                </c:pt>
                <c:pt idx="12">
                  <c:v>42450.0</c:v>
                </c:pt>
                <c:pt idx="13">
                  <c:v>42457.0</c:v>
                </c:pt>
                <c:pt idx="14">
                  <c:v>42464.0</c:v>
                </c:pt>
                <c:pt idx="15">
                  <c:v>42471.0</c:v>
                </c:pt>
                <c:pt idx="16">
                  <c:v>42478.0</c:v>
                </c:pt>
                <c:pt idx="17">
                  <c:v>42485.0</c:v>
                </c:pt>
                <c:pt idx="18">
                  <c:v>42492.0</c:v>
                </c:pt>
                <c:pt idx="19">
                  <c:v>42499.0</c:v>
                </c:pt>
                <c:pt idx="20">
                  <c:v>42506.0</c:v>
                </c:pt>
                <c:pt idx="21">
                  <c:v>42513.0</c:v>
                </c:pt>
                <c:pt idx="22">
                  <c:v>42520.0</c:v>
                </c:pt>
                <c:pt idx="23">
                  <c:v>42527.0</c:v>
                </c:pt>
                <c:pt idx="24">
                  <c:v>42534.0</c:v>
                </c:pt>
                <c:pt idx="25">
                  <c:v>42541.0</c:v>
                </c:pt>
                <c:pt idx="26">
                  <c:v>42548.0</c:v>
                </c:pt>
                <c:pt idx="27">
                  <c:v>42555.0</c:v>
                </c:pt>
                <c:pt idx="28">
                  <c:v>42562.0</c:v>
                </c:pt>
                <c:pt idx="29">
                  <c:v>42569.0</c:v>
                </c:pt>
                <c:pt idx="30">
                  <c:v>42576.0</c:v>
                </c:pt>
                <c:pt idx="31">
                  <c:v>42583.0</c:v>
                </c:pt>
                <c:pt idx="32">
                  <c:v>42590.0</c:v>
                </c:pt>
                <c:pt idx="33">
                  <c:v>42597.0</c:v>
                </c:pt>
                <c:pt idx="34">
                  <c:v>42604.0</c:v>
                </c:pt>
                <c:pt idx="35">
                  <c:v>42611.0</c:v>
                </c:pt>
                <c:pt idx="36">
                  <c:v>42618.0</c:v>
                </c:pt>
                <c:pt idx="37">
                  <c:v>42625.0</c:v>
                </c:pt>
                <c:pt idx="38">
                  <c:v>42632.0</c:v>
                </c:pt>
                <c:pt idx="39">
                  <c:v>42639.0</c:v>
                </c:pt>
                <c:pt idx="40">
                  <c:v>42646.0</c:v>
                </c:pt>
                <c:pt idx="41">
                  <c:v>42653.0</c:v>
                </c:pt>
                <c:pt idx="42">
                  <c:v>42660.0</c:v>
                </c:pt>
                <c:pt idx="43">
                  <c:v>42667.0</c:v>
                </c:pt>
                <c:pt idx="44">
                  <c:v>42674.0</c:v>
                </c:pt>
                <c:pt idx="45">
                  <c:v>42681.0</c:v>
                </c:pt>
                <c:pt idx="46">
                  <c:v>42688.0</c:v>
                </c:pt>
                <c:pt idx="47">
                  <c:v>42695.0</c:v>
                </c:pt>
                <c:pt idx="48">
                  <c:v>42702.0</c:v>
                </c:pt>
                <c:pt idx="49">
                  <c:v>42709.0</c:v>
                </c:pt>
                <c:pt idx="50">
                  <c:v>42716.0</c:v>
                </c:pt>
                <c:pt idx="51">
                  <c:v>42723.0</c:v>
                </c:pt>
                <c:pt idx="52">
                  <c:v>42730.0</c:v>
                </c:pt>
                <c:pt idx="53">
                  <c:v>42737.0</c:v>
                </c:pt>
                <c:pt idx="54">
                  <c:v>42744.0</c:v>
                </c:pt>
                <c:pt idx="55">
                  <c:v>42751.0</c:v>
                </c:pt>
                <c:pt idx="56">
                  <c:v>42758.0</c:v>
                </c:pt>
                <c:pt idx="57">
                  <c:v>42765.0</c:v>
                </c:pt>
                <c:pt idx="58">
                  <c:v>42772.0</c:v>
                </c:pt>
                <c:pt idx="59">
                  <c:v>42779.0</c:v>
                </c:pt>
                <c:pt idx="60">
                  <c:v>42786.0</c:v>
                </c:pt>
                <c:pt idx="61">
                  <c:v>42793.0</c:v>
                </c:pt>
                <c:pt idx="62">
                  <c:v>42800.0</c:v>
                </c:pt>
                <c:pt idx="63">
                  <c:v>42807.0</c:v>
                </c:pt>
                <c:pt idx="64">
                  <c:v>42814.0</c:v>
                </c:pt>
                <c:pt idx="65">
                  <c:v>42821.0</c:v>
                </c:pt>
                <c:pt idx="66">
                  <c:v>42828.0</c:v>
                </c:pt>
                <c:pt idx="67">
                  <c:v>42835.0</c:v>
                </c:pt>
                <c:pt idx="68">
                  <c:v>42842.0</c:v>
                </c:pt>
                <c:pt idx="69">
                  <c:v>42849.0</c:v>
                </c:pt>
                <c:pt idx="70">
                  <c:v>42856.0</c:v>
                </c:pt>
                <c:pt idx="71">
                  <c:v>42863.0</c:v>
                </c:pt>
                <c:pt idx="72">
                  <c:v>42870.0</c:v>
                </c:pt>
                <c:pt idx="73">
                  <c:v>42877.0</c:v>
                </c:pt>
                <c:pt idx="74">
                  <c:v>42884.0</c:v>
                </c:pt>
                <c:pt idx="75">
                  <c:v>42891.0</c:v>
                </c:pt>
                <c:pt idx="76">
                  <c:v>42898.0</c:v>
                </c:pt>
                <c:pt idx="77">
                  <c:v>42905.0</c:v>
                </c:pt>
                <c:pt idx="78">
                  <c:v>42912.0</c:v>
                </c:pt>
                <c:pt idx="79">
                  <c:v>42919.0</c:v>
                </c:pt>
                <c:pt idx="80">
                  <c:v>42926.0</c:v>
                </c:pt>
                <c:pt idx="81">
                  <c:v>42933.0</c:v>
                </c:pt>
                <c:pt idx="82">
                  <c:v>42940.0</c:v>
                </c:pt>
                <c:pt idx="83">
                  <c:v>42947.0</c:v>
                </c:pt>
                <c:pt idx="84">
                  <c:v>42954.0</c:v>
                </c:pt>
                <c:pt idx="85">
                  <c:v>42961.0</c:v>
                </c:pt>
                <c:pt idx="86">
                  <c:v>42968.0</c:v>
                </c:pt>
                <c:pt idx="87">
                  <c:v>42975.0</c:v>
                </c:pt>
                <c:pt idx="88">
                  <c:v>42982.0</c:v>
                </c:pt>
                <c:pt idx="89">
                  <c:v>42989.0</c:v>
                </c:pt>
                <c:pt idx="90">
                  <c:v>42996.0</c:v>
                </c:pt>
                <c:pt idx="91">
                  <c:v>43003.0</c:v>
                </c:pt>
                <c:pt idx="92">
                  <c:v>43010.0</c:v>
                </c:pt>
                <c:pt idx="93">
                  <c:v>43017.0</c:v>
                </c:pt>
                <c:pt idx="94">
                  <c:v>43024.0</c:v>
                </c:pt>
                <c:pt idx="95">
                  <c:v>43031.0</c:v>
                </c:pt>
                <c:pt idx="96">
                  <c:v>43038.0</c:v>
                </c:pt>
                <c:pt idx="97">
                  <c:v>43045.0</c:v>
                </c:pt>
                <c:pt idx="98">
                  <c:v>43052.0</c:v>
                </c:pt>
                <c:pt idx="99">
                  <c:v>43059.0</c:v>
                </c:pt>
                <c:pt idx="100">
                  <c:v>43066.0</c:v>
                </c:pt>
                <c:pt idx="101">
                  <c:v>43073.0</c:v>
                </c:pt>
                <c:pt idx="102">
                  <c:v>43080.0</c:v>
                </c:pt>
                <c:pt idx="103">
                  <c:v>43087.0</c:v>
                </c:pt>
                <c:pt idx="104">
                  <c:v>43094.0</c:v>
                </c:pt>
              </c:numCache>
            </c:numRef>
          </c:cat>
          <c:val>
            <c:numRef>
              <c:f>'Unconstrained EF (Q4)'!$J$2:$J$106</c:f>
              <c:numCache>
                <c:formatCode>General</c:formatCode>
                <c:ptCount val="105"/>
                <c:pt idx="0">
                  <c:v>114.606506</c:v>
                </c:pt>
                <c:pt idx="1">
                  <c:v>117.24881</c:v>
                </c:pt>
                <c:pt idx="2" formatCode="0.000000">
                  <c:v>119.520393</c:v>
                </c:pt>
                <c:pt idx="3">
                  <c:v>119.130707</c:v>
                </c:pt>
                <c:pt idx="4">
                  <c:v>120.993629</c:v>
                </c:pt>
                <c:pt idx="5">
                  <c:v>122.3433</c:v>
                </c:pt>
                <c:pt idx="6">
                  <c:v>125.222633</c:v>
                </c:pt>
                <c:pt idx="7">
                  <c:v>124.756035</c:v>
                </c:pt>
                <c:pt idx="8">
                  <c:v>124.184647</c:v>
                </c:pt>
                <c:pt idx="9">
                  <c:v>122.46106</c:v>
                </c:pt>
                <c:pt idx="10">
                  <c:v>121.5103</c:v>
                </c:pt>
                <c:pt idx="11">
                  <c:v>123.132225</c:v>
                </c:pt>
                <c:pt idx="12">
                  <c:v>123.590179</c:v>
                </c:pt>
                <c:pt idx="13">
                  <c:v>124.677788</c:v>
                </c:pt>
                <c:pt idx="14">
                  <c:v>126.207634</c:v>
                </c:pt>
                <c:pt idx="15">
                  <c:v>126.083389</c:v>
                </c:pt>
                <c:pt idx="16">
                  <c:v>122.718063</c:v>
                </c:pt>
                <c:pt idx="17">
                  <c:v>123.69326</c:v>
                </c:pt>
                <c:pt idx="18">
                  <c:v>124.716187</c:v>
                </c:pt>
                <c:pt idx="19">
                  <c:v>126.720413</c:v>
                </c:pt>
                <c:pt idx="20">
                  <c:v>124.679939</c:v>
                </c:pt>
                <c:pt idx="21">
                  <c:v>124.392548</c:v>
                </c:pt>
                <c:pt idx="22">
                  <c:v>127.630463</c:v>
                </c:pt>
                <c:pt idx="23">
                  <c:v>129.380737</c:v>
                </c:pt>
                <c:pt idx="24">
                  <c:v>130.177475</c:v>
                </c:pt>
                <c:pt idx="25">
                  <c:v>130.340652</c:v>
                </c:pt>
                <c:pt idx="26">
                  <c:v>134.938782</c:v>
                </c:pt>
                <c:pt idx="27">
                  <c:v>138.100952</c:v>
                </c:pt>
                <c:pt idx="28">
                  <c:v>133.090469</c:v>
                </c:pt>
                <c:pt idx="29">
                  <c:v>133.484741</c:v>
                </c:pt>
                <c:pt idx="30">
                  <c:v>136.139099</c:v>
                </c:pt>
                <c:pt idx="31">
                  <c:v>132.715393</c:v>
                </c:pt>
                <c:pt idx="32">
                  <c:v>134.9617</c:v>
                </c:pt>
                <c:pt idx="33">
                  <c:v>133.6418</c:v>
                </c:pt>
                <c:pt idx="34">
                  <c:v>133.304596</c:v>
                </c:pt>
                <c:pt idx="35">
                  <c:v>133.564697</c:v>
                </c:pt>
                <c:pt idx="36">
                  <c:v>130.805878</c:v>
                </c:pt>
                <c:pt idx="37">
                  <c:v>130.062653</c:v>
                </c:pt>
                <c:pt idx="38">
                  <c:v>132.060684</c:v>
                </c:pt>
                <c:pt idx="39">
                  <c:v>132.726624</c:v>
                </c:pt>
                <c:pt idx="40">
                  <c:v>129.261551</c:v>
                </c:pt>
                <c:pt idx="41">
                  <c:v>127.241119</c:v>
                </c:pt>
                <c:pt idx="42">
                  <c:v>128.904312</c:v>
                </c:pt>
                <c:pt idx="43">
                  <c:v>126.138817</c:v>
                </c:pt>
                <c:pt idx="44">
                  <c:v>127.386177</c:v>
                </c:pt>
                <c:pt idx="45">
                  <c:v>118.231964</c:v>
                </c:pt>
                <c:pt idx="46">
                  <c:v>117.079094</c:v>
                </c:pt>
                <c:pt idx="47">
                  <c:v>117.050034</c:v>
                </c:pt>
                <c:pt idx="48">
                  <c:v>115.86808</c:v>
                </c:pt>
                <c:pt idx="49">
                  <c:v>114.064156</c:v>
                </c:pt>
                <c:pt idx="50">
                  <c:v>113.714676</c:v>
                </c:pt>
                <c:pt idx="51">
                  <c:v>114.598068</c:v>
                </c:pt>
                <c:pt idx="52">
                  <c:v>115.949234</c:v>
                </c:pt>
                <c:pt idx="53">
                  <c:v>117.633064</c:v>
                </c:pt>
                <c:pt idx="54">
                  <c:v>118.071045</c:v>
                </c:pt>
                <c:pt idx="55">
                  <c:v>116.73764</c:v>
                </c:pt>
                <c:pt idx="56">
                  <c:v>116.435913</c:v>
                </c:pt>
                <c:pt idx="57">
                  <c:v>115.822731</c:v>
                </c:pt>
                <c:pt idx="58">
                  <c:v>117.789772</c:v>
                </c:pt>
                <c:pt idx="59">
                  <c:v>117.360588</c:v>
                </c:pt>
                <c:pt idx="60">
                  <c:v>119.009026</c:v>
                </c:pt>
                <c:pt idx="61">
                  <c:v>116.414444</c:v>
                </c:pt>
                <c:pt idx="62">
                  <c:v>114.586342</c:v>
                </c:pt>
                <c:pt idx="63">
                  <c:v>115.944771</c:v>
                </c:pt>
                <c:pt idx="64">
                  <c:v>118.133865</c:v>
                </c:pt>
                <c:pt idx="65">
                  <c:v>117.967743</c:v>
                </c:pt>
                <c:pt idx="66">
                  <c:v>117.967743</c:v>
                </c:pt>
                <c:pt idx="67">
                  <c:v>120.920494</c:v>
                </c:pt>
                <c:pt idx="68">
                  <c:v>120.989037</c:v>
                </c:pt>
                <c:pt idx="69">
                  <c:v>119.823608</c:v>
                </c:pt>
                <c:pt idx="70">
                  <c:v>118.7855</c:v>
                </c:pt>
                <c:pt idx="71">
                  <c:v>119.131737</c:v>
                </c:pt>
                <c:pt idx="72">
                  <c:v>121.408562</c:v>
                </c:pt>
                <c:pt idx="73">
                  <c:v>121.182854</c:v>
                </c:pt>
                <c:pt idx="74">
                  <c:v>123.283043</c:v>
                </c:pt>
                <c:pt idx="75">
                  <c:v>122.344383</c:v>
                </c:pt>
                <c:pt idx="76">
                  <c:v>124.262169</c:v>
                </c:pt>
                <c:pt idx="77">
                  <c:v>125.668533</c:v>
                </c:pt>
                <c:pt idx="78">
                  <c:v>123.052498</c:v>
                </c:pt>
                <c:pt idx="79">
                  <c:v>120.692162</c:v>
                </c:pt>
                <c:pt idx="80">
                  <c:v>121.542694</c:v>
                </c:pt>
                <c:pt idx="81">
                  <c:v>123.868507</c:v>
                </c:pt>
                <c:pt idx="82">
                  <c:v>122.094582</c:v>
                </c:pt>
                <c:pt idx="83">
                  <c:v>123.119507</c:v>
                </c:pt>
                <c:pt idx="84">
                  <c:v>124.868561</c:v>
                </c:pt>
                <c:pt idx="85">
                  <c:v>125.056229</c:v>
                </c:pt>
                <c:pt idx="86">
                  <c:v>125.747574</c:v>
                </c:pt>
                <c:pt idx="87">
                  <c:v>125.184616</c:v>
                </c:pt>
                <c:pt idx="88">
                  <c:v>127.669182</c:v>
                </c:pt>
                <c:pt idx="89">
                  <c:v>125.551247</c:v>
                </c:pt>
                <c:pt idx="90">
                  <c:v>124.898056</c:v>
                </c:pt>
                <c:pt idx="91">
                  <c:v>123.472916</c:v>
                </c:pt>
                <c:pt idx="92">
                  <c:v>122.31498</c:v>
                </c:pt>
                <c:pt idx="93">
                  <c:v>124.803749</c:v>
                </c:pt>
                <c:pt idx="94">
                  <c:v>122.949303</c:v>
                </c:pt>
                <c:pt idx="95">
                  <c:v>122.215446</c:v>
                </c:pt>
                <c:pt idx="96">
                  <c:v>124.595505</c:v>
                </c:pt>
                <c:pt idx="97">
                  <c:v>123.328911</c:v>
                </c:pt>
                <c:pt idx="98">
                  <c:v>125.604683</c:v>
                </c:pt>
                <c:pt idx="99">
                  <c:v>126.012138</c:v>
                </c:pt>
                <c:pt idx="100">
                  <c:v>125.763687</c:v>
                </c:pt>
                <c:pt idx="101">
                  <c:v>126.159943</c:v>
                </c:pt>
                <c:pt idx="102">
                  <c:v>127.812996</c:v>
                </c:pt>
                <c:pt idx="103">
                  <c:v>124.247971</c:v>
                </c:pt>
                <c:pt idx="104">
                  <c:v>126.596413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762-0A49-B93A-E52472721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323104"/>
        <c:axId val="-2065918720"/>
      </c:lineChart>
      <c:dateAx>
        <c:axId val="2125323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5918720"/>
        <c:crosses val="autoZero"/>
        <c:auto val="1"/>
        <c:lblOffset val="100"/>
        <c:baseTimeUnit val="days"/>
      </c:dateAx>
      <c:valAx>
        <c:axId val="-206591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32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Return History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42373.0</c:v>
                </c:pt>
                <c:pt idx="1">
                  <c:v>42380.0</c:v>
                </c:pt>
                <c:pt idx="2">
                  <c:v>42387.0</c:v>
                </c:pt>
                <c:pt idx="3">
                  <c:v>42394.0</c:v>
                </c:pt>
                <c:pt idx="4">
                  <c:v>42401.0</c:v>
                </c:pt>
                <c:pt idx="5">
                  <c:v>42408.0</c:v>
                </c:pt>
                <c:pt idx="6">
                  <c:v>42415.0</c:v>
                </c:pt>
                <c:pt idx="7">
                  <c:v>42422.0</c:v>
                </c:pt>
                <c:pt idx="8">
                  <c:v>42429.0</c:v>
                </c:pt>
                <c:pt idx="9">
                  <c:v>42436.0</c:v>
                </c:pt>
                <c:pt idx="10">
                  <c:v>42443.0</c:v>
                </c:pt>
                <c:pt idx="11">
                  <c:v>42450.0</c:v>
                </c:pt>
                <c:pt idx="12">
                  <c:v>42457.0</c:v>
                </c:pt>
                <c:pt idx="13">
                  <c:v>42464.0</c:v>
                </c:pt>
                <c:pt idx="14">
                  <c:v>42471.0</c:v>
                </c:pt>
                <c:pt idx="15">
                  <c:v>42478.0</c:v>
                </c:pt>
                <c:pt idx="16">
                  <c:v>42485.0</c:v>
                </c:pt>
                <c:pt idx="17">
                  <c:v>42492.0</c:v>
                </c:pt>
                <c:pt idx="18">
                  <c:v>42499.0</c:v>
                </c:pt>
                <c:pt idx="19">
                  <c:v>42506.0</c:v>
                </c:pt>
                <c:pt idx="20">
                  <c:v>42513.0</c:v>
                </c:pt>
                <c:pt idx="21">
                  <c:v>42520.0</c:v>
                </c:pt>
                <c:pt idx="22">
                  <c:v>42527.0</c:v>
                </c:pt>
                <c:pt idx="23">
                  <c:v>42534.0</c:v>
                </c:pt>
                <c:pt idx="24">
                  <c:v>42541.0</c:v>
                </c:pt>
                <c:pt idx="25">
                  <c:v>42548.0</c:v>
                </c:pt>
                <c:pt idx="26">
                  <c:v>42555.0</c:v>
                </c:pt>
                <c:pt idx="27">
                  <c:v>42562.0</c:v>
                </c:pt>
                <c:pt idx="28">
                  <c:v>42569.0</c:v>
                </c:pt>
                <c:pt idx="29">
                  <c:v>42576.0</c:v>
                </c:pt>
                <c:pt idx="30">
                  <c:v>42583.0</c:v>
                </c:pt>
                <c:pt idx="31">
                  <c:v>42590.0</c:v>
                </c:pt>
                <c:pt idx="32">
                  <c:v>42597.0</c:v>
                </c:pt>
                <c:pt idx="33">
                  <c:v>42604.0</c:v>
                </c:pt>
                <c:pt idx="34">
                  <c:v>42611.0</c:v>
                </c:pt>
                <c:pt idx="35">
                  <c:v>42618.0</c:v>
                </c:pt>
                <c:pt idx="36">
                  <c:v>42625.0</c:v>
                </c:pt>
                <c:pt idx="37">
                  <c:v>42632.0</c:v>
                </c:pt>
                <c:pt idx="38">
                  <c:v>42639.0</c:v>
                </c:pt>
                <c:pt idx="39">
                  <c:v>42646.0</c:v>
                </c:pt>
                <c:pt idx="40">
                  <c:v>42653.0</c:v>
                </c:pt>
                <c:pt idx="41">
                  <c:v>42660.0</c:v>
                </c:pt>
                <c:pt idx="42">
                  <c:v>42667.0</c:v>
                </c:pt>
                <c:pt idx="43">
                  <c:v>42674.0</c:v>
                </c:pt>
                <c:pt idx="44">
                  <c:v>42681.0</c:v>
                </c:pt>
                <c:pt idx="45">
                  <c:v>42688.0</c:v>
                </c:pt>
                <c:pt idx="46">
                  <c:v>42695.0</c:v>
                </c:pt>
                <c:pt idx="47">
                  <c:v>42702.0</c:v>
                </c:pt>
                <c:pt idx="48">
                  <c:v>42709.0</c:v>
                </c:pt>
                <c:pt idx="49">
                  <c:v>42716.0</c:v>
                </c:pt>
                <c:pt idx="50">
                  <c:v>42723.0</c:v>
                </c:pt>
                <c:pt idx="51">
                  <c:v>42730.0</c:v>
                </c:pt>
                <c:pt idx="52">
                  <c:v>42737.0</c:v>
                </c:pt>
                <c:pt idx="53">
                  <c:v>42744.0</c:v>
                </c:pt>
                <c:pt idx="54">
                  <c:v>42751.0</c:v>
                </c:pt>
                <c:pt idx="55">
                  <c:v>42758.0</c:v>
                </c:pt>
                <c:pt idx="56">
                  <c:v>42765.0</c:v>
                </c:pt>
                <c:pt idx="57">
                  <c:v>42772.0</c:v>
                </c:pt>
                <c:pt idx="58">
                  <c:v>42779.0</c:v>
                </c:pt>
                <c:pt idx="59">
                  <c:v>42786.0</c:v>
                </c:pt>
                <c:pt idx="60">
                  <c:v>42793.0</c:v>
                </c:pt>
                <c:pt idx="61">
                  <c:v>42800.0</c:v>
                </c:pt>
                <c:pt idx="62">
                  <c:v>42807.0</c:v>
                </c:pt>
                <c:pt idx="63">
                  <c:v>42814.0</c:v>
                </c:pt>
                <c:pt idx="64">
                  <c:v>42821.0</c:v>
                </c:pt>
                <c:pt idx="65">
                  <c:v>42828.0</c:v>
                </c:pt>
                <c:pt idx="66">
                  <c:v>42835.0</c:v>
                </c:pt>
                <c:pt idx="67">
                  <c:v>42842.0</c:v>
                </c:pt>
                <c:pt idx="68">
                  <c:v>42849.0</c:v>
                </c:pt>
                <c:pt idx="69">
                  <c:v>42856.0</c:v>
                </c:pt>
                <c:pt idx="70">
                  <c:v>42863.0</c:v>
                </c:pt>
                <c:pt idx="71">
                  <c:v>42870.0</c:v>
                </c:pt>
                <c:pt idx="72">
                  <c:v>42877.0</c:v>
                </c:pt>
                <c:pt idx="73">
                  <c:v>42884.0</c:v>
                </c:pt>
                <c:pt idx="74">
                  <c:v>42891.0</c:v>
                </c:pt>
                <c:pt idx="75">
                  <c:v>42898.0</c:v>
                </c:pt>
                <c:pt idx="76">
                  <c:v>42905.0</c:v>
                </c:pt>
                <c:pt idx="77">
                  <c:v>42912.0</c:v>
                </c:pt>
                <c:pt idx="78">
                  <c:v>42919.0</c:v>
                </c:pt>
                <c:pt idx="79">
                  <c:v>42926.0</c:v>
                </c:pt>
                <c:pt idx="80">
                  <c:v>42933.0</c:v>
                </c:pt>
                <c:pt idx="81">
                  <c:v>42940.0</c:v>
                </c:pt>
                <c:pt idx="82">
                  <c:v>42947.0</c:v>
                </c:pt>
                <c:pt idx="83">
                  <c:v>42954.0</c:v>
                </c:pt>
                <c:pt idx="84">
                  <c:v>42961.0</c:v>
                </c:pt>
                <c:pt idx="85">
                  <c:v>42968.0</c:v>
                </c:pt>
                <c:pt idx="86">
                  <c:v>42975.0</c:v>
                </c:pt>
                <c:pt idx="87">
                  <c:v>42982.0</c:v>
                </c:pt>
                <c:pt idx="88">
                  <c:v>42989.0</c:v>
                </c:pt>
                <c:pt idx="89">
                  <c:v>42996.0</c:v>
                </c:pt>
                <c:pt idx="90">
                  <c:v>43003.0</c:v>
                </c:pt>
                <c:pt idx="91">
                  <c:v>43010.0</c:v>
                </c:pt>
                <c:pt idx="92">
                  <c:v>43017.0</c:v>
                </c:pt>
                <c:pt idx="93">
                  <c:v>43024.0</c:v>
                </c:pt>
                <c:pt idx="94">
                  <c:v>43031.0</c:v>
                </c:pt>
                <c:pt idx="95">
                  <c:v>43038.0</c:v>
                </c:pt>
                <c:pt idx="96">
                  <c:v>43045.0</c:v>
                </c:pt>
                <c:pt idx="97">
                  <c:v>43052.0</c:v>
                </c:pt>
                <c:pt idx="98">
                  <c:v>43059.0</c:v>
                </c:pt>
                <c:pt idx="99">
                  <c:v>43066.0</c:v>
                </c:pt>
                <c:pt idx="100">
                  <c:v>43073.0</c:v>
                </c:pt>
                <c:pt idx="101">
                  <c:v>43080.0</c:v>
                </c:pt>
                <c:pt idx="102">
                  <c:v>43087.0</c:v>
                </c:pt>
                <c:pt idx="103">
                  <c:v>43094.0</c:v>
                </c:pt>
              </c:numCache>
            </c:numRef>
          </c:cat>
          <c:val>
            <c:numRef>
              <c:f>'Unconstrained EF (Q4)'!$E$3:$E$106</c:f>
              <c:numCache>
                <c:formatCode>General</c:formatCode>
                <c:ptCount val="104"/>
                <c:pt idx="0">
                  <c:v>-0.0631379096565622</c:v>
                </c:pt>
                <c:pt idx="1">
                  <c:v>-0.0376917497642782</c:v>
                </c:pt>
                <c:pt idx="2">
                  <c:v>0.0296066543146194</c:v>
                </c:pt>
                <c:pt idx="3">
                  <c:v>0.0244380362271708</c:v>
                </c:pt>
                <c:pt idx="4">
                  <c:v>-0.0741890770503261</c:v>
                </c:pt>
                <c:pt idx="5">
                  <c:v>-0.000944675688522411</c:v>
                </c:pt>
                <c:pt idx="6">
                  <c:v>0.0461658086954797</c:v>
                </c:pt>
                <c:pt idx="7">
                  <c:v>0.0375544424175609</c:v>
                </c:pt>
                <c:pt idx="8">
                  <c:v>-0.00554423977567009</c:v>
                </c:pt>
                <c:pt idx="9">
                  <c:v>0.0230966328722069</c:v>
                </c:pt>
                <c:pt idx="10">
                  <c:v>0.0281196956909944</c:v>
                </c:pt>
                <c:pt idx="11">
                  <c:v>-0.00677569091284302</c:v>
                </c:pt>
                <c:pt idx="12">
                  <c:v>0.0336502590421834</c:v>
                </c:pt>
                <c:pt idx="13">
                  <c:v>-0.00912135369333833</c:v>
                </c:pt>
                <c:pt idx="14">
                  <c:v>0.0104028341653908</c:v>
                </c:pt>
                <c:pt idx="15">
                  <c:v>0.00481416910427801</c:v>
                </c:pt>
                <c:pt idx="16">
                  <c:v>-0.0130472299944503</c:v>
                </c:pt>
                <c:pt idx="17">
                  <c:v>0.0135184876921464</c:v>
                </c:pt>
                <c:pt idx="18">
                  <c:v>-0.0189386255377705</c:v>
                </c:pt>
                <c:pt idx="19">
                  <c:v>-0.00961471209660713</c:v>
                </c:pt>
                <c:pt idx="20">
                  <c:v>0.0158511924707676</c:v>
                </c:pt>
                <c:pt idx="21">
                  <c:v>-0.0164251482218499</c:v>
                </c:pt>
                <c:pt idx="22">
                  <c:v>-0.0170251850049528</c:v>
                </c:pt>
                <c:pt idx="23">
                  <c:v>-0.0131180413813449</c:v>
                </c:pt>
                <c:pt idx="24">
                  <c:v>-0.00582029388624039</c:v>
                </c:pt>
                <c:pt idx="25">
                  <c:v>0.0254745627592612</c:v>
                </c:pt>
                <c:pt idx="26">
                  <c:v>0.0364140971207041</c:v>
                </c:pt>
                <c:pt idx="27">
                  <c:v>0.00327521714399004</c:v>
                </c:pt>
                <c:pt idx="28">
                  <c:v>0.0129100410180802</c:v>
                </c:pt>
                <c:pt idx="29">
                  <c:v>0.0125991117682238</c:v>
                </c:pt>
                <c:pt idx="30">
                  <c:v>-0.00962101505215573</c:v>
                </c:pt>
                <c:pt idx="31">
                  <c:v>-0.00248351398253976</c:v>
                </c:pt>
                <c:pt idx="32">
                  <c:v>-0.00812756489020894</c:v>
                </c:pt>
                <c:pt idx="33">
                  <c:v>-0.00812056645930903</c:v>
                </c:pt>
                <c:pt idx="34">
                  <c:v>0.00587956952955459</c:v>
                </c:pt>
                <c:pt idx="35">
                  <c:v>-0.0499808276845863</c:v>
                </c:pt>
                <c:pt idx="36">
                  <c:v>-0.0127603147213176</c:v>
                </c:pt>
                <c:pt idx="37">
                  <c:v>0.0133217749025454</c:v>
                </c:pt>
                <c:pt idx="38">
                  <c:v>0.00696457576371667</c:v>
                </c:pt>
                <c:pt idx="39">
                  <c:v>-0.00287546313234432</c:v>
                </c:pt>
                <c:pt idx="40">
                  <c:v>-0.0147298349963861</c:v>
                </c:pt>
                <c:pt idx="41">
                  <c:v>0.00142371286218146</c:v>
                </c:pt>
                <c:pt idx="42">
                  <c:v>-0.0238546027571483</c:v>
                </c:pt>
                <c:pt idx="43">
                  <c:v>-0.02160545620774</c:v>
                </c:pt>
                <c:pt idx="44">
                  <c:v>0.0739393894234277</c:v>
                </c:pt>
                <c:pt idx="45">
                  <c:v>-0.0117058231805366</c:v>
                </c:pt>
                <c:pt idx="46">
                  <c:v>0.0252473777777245</c:v>
                </c:pt>
                <c:pt idx="47">
                  <c:v>-0.0129209516628526</c:v>
                </c:pt>
                <c:pt idx="48">
                  <c:v>0.0325576567923049</c:v>
                </c:pt>
                <c:pt idx="49">
                  <c:v>0.0128944912834628</c:v>
                </c:pt>
                <c:pt idx="50">
                  <c:v>-0.000444016739279629</c:v>
                </c:pt>
                <c:pt idx="51">
                  <c:v>-0.00718249459373632</c:v>
                </c:pt>
                <c:pt idx="52">
                  <c:v>-0.00410202775130153</c:v>
                </c:pt>
                <c:pt idx="53">
                  <c:v>0.0113083633198181</c:v>
                </c:pt>
                <c:pt idx="54">
                  <c:v>0.00414696546074777</c:v>
                </c:pt>
                <c:pt idx="55">
                  <c:v>0.0201325226648343</c:v>
                </c:pt>
                <c:pt idx="56">
                  <c:v>-0.00253006759944641</c:v>
                </c:pt>
                <c:pt idx="57">
                  <c:v>0.013552773524933</c:v>
                </c:pt>
                <c:pt idx="58">
                  <c:v>0.0225240148045547</c:v>
                </c:pt>
                <c:pt idx="59">
                  <c:v>0.0206293625346978</c:v>
                </c:pt>
                <c:pt idx="60">
                  <c:v>0.0127440223378508</c:v>
                </c:pt>
                <c:pt idx="61">
                  <c:v>-0.00649465732062992</c:v>
                </c:pt>
                <c:pt idx="62">
                  <c:v>0.0249265115931454</c:v>
                </c:pt>
                <c:pt idx="63">
                  <c:v>-0.0126337670107235</c:v>
                </c:pt>
                <c:pt idx="64">
                  <c:v>-0.0059575234242718</c:v>
                </c:pt>
                <c:pt idx="65">
                  <c:v>0.00204318470381004</c:v>
                </c:pt>
                <c:pt idx="66">
                  <c:v>-0.00829210854480022</c:v>
                </c:pt>
                <c:pt idx="67">
                  <c:v>0.0280309754419739</c:v>
                </c:pt>
                <c:pt idx="68">
                  <c:v>0.0406667338964055</c:v>
                </c:pt>
                <c:pt idx="69">
                  <c:v>-0.00237042465458948</c:v>
                </c:pt>
                <c:pt idx="70">
                  <c:v>0.00764149401613556</c:v>
                </c:pt>
                <c:pt idx="71">
                  <c:v>-0.00395096800436567</c:v>
                </c:pt>
                <c:pt idx="72">
                  <c:v>-0.00895724944750709</c:v>
                </c:pt>
                <c:pt idx="73">
                  <c:v>0.00290515763275501</c:v>
                </c:pt>
                <c:pt idx="74">
                  <c:v>-0.00969468118827832</c:v>
                </c:pt>
                <c:pt idx="75">
                  <c:v>0.0240585581300639</c:v>
                </c:pt>
                <c:pt idx="76">
                  <c:v>-0.0340270696144077</c:v>
                </c:pt>
                <c:pt idx="77">
                  <c:v>0.0138126322907677</c:v>
                </c:pt>
                <c:pt idx="78">
                  <c:v>-0.00762710578107928</c:v>
                </c:pt>
                <c:pt idx="79">
                  <c:v>0.00427000991218507</c:v>
                </c:pt>
                <c:pt idx="80">
                  <c:v>-0.0407510038921683</c:v>
                </c:pt>
                <c:pt idx="81">
                  <c:v>0.00975111694327735</c:v>
                </c:pt>
                <c:pt idx="82">
                  <c:v>0.0315369790720672</c:v>
                </c:pt>
                <c:pt idx="83">
                  <c:v>0.0139443940340598</c:v>
                </c:pt>
                <c:pt idx="84">
                  <c:v>-0.0477143516719928</c:v>
                </c:pt>
                <c:pt idx="85">
                  <c:v>0.0146449284551184</c:v>
                </c:pt>
                <c:pt idx="86">
                  <c:v>0.00755102981117317</c:v>
                </c:pt>
                <c:pt idx="87">
                  <c:v>0.0651557014499171</c:v>
                </c:pt>
                <c:pt idx="88">
                  <c:v>-0.00789185172613771</c:v>
                </c:pt>
                <c:pt idx="89">
                  <c:v>0.00991172182298849</c:v>
                </c:pt>
                <c:pt idx="90">
                  <c:v>0.0224416712252338</c:v>
                </c:pt>
                <c:pt idx="91">
                  <c:v>0.0140009824526388</c:v>
                </c:pt>
                <c:pt idx="92">
                  <c:v>-0.00832078904705058</c:v>
                </c:pt>
                <c:pt idx="93">
                  <c:v>-0.00632334840846815</c:v>
                </c:pt>
                <c:pt idx="94">
                  <c:v>0.0239245996426509</c:v>
                </c:pt>
                <c:pt idx="95">
                  <c:v>-0.0176287166985309</c:v>
                </c:pt>
                <c:pt idx="96">
                  <c:v>-0.00170330529267104</c:v>
                </c:pt>
                <c:pt idx="97">
                  <c:v>0.0221193528484562</c:v>
                </c:pt>
                <c:pt idx="98">
                  <c:v>0.027363775092526</c:v>
                </c:pt>
                <c:pt idx="99">
                  <c:v>0.0469447405590695</c:v>
                </c:pt>
                <c:pt idx="100">
                  <c:v>0.0217224733092347</c:v>
                </c:pt>
                <c:pt idx="101">
                  <c:v>-0.00452539110134897</c:v>
                </c:pt>
                <c:pt idx="102">
                  <c:v>0.0303976500120753</c:v>
                </c:pt>
                <c:pt idx="103">
                  <c:v>0.00744163058944269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BC-7F4A-A90B-3F8C22225FBC}"/>
            </c:ext>
          </c:extLst>
        </c:ser>
        <c:ser>
          <c:idx val="1"/>
          <c:order val="1"/>
          <c:tx>
            <c:v>GS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42373.0</c:v>
                </c:pt>
                <c:pt idx="1">
                  <c:v>42380.0</c:v>
                </c:pt>
                <c:pt idx="2">
                  <c:v>42387.0</c:v>
                </c:pt>
                <c:pt idx="3">
                  <c:v>42394.0</c:v>
                </c:pt>
                <c:pt idx="4">
                  <c:v>42401.0</c:v>
                </c:pt>
                <c:pt idx="5">
                  <c:v>42408.0</c:v>
                </c:pt>
                <c:pt idx="6">
                  <c:v>42415.0</c:v>
                </c:pt>
                <c:pt idx="7">
                  <c:v>42422.0</c:v>
                </c:pt>
                <c:pt idx="8">
                  <c:v>42429.0</c:v>
                </c:pt>
                <c:pt idx="9">
                  <c:v>42436.0</c:v>
                </c:pt>
                <c:pt idx="10">
                  <c:v>42443.0</c:v>
                </c:pt>
                <c:pt idx="11">
                  <c:v>42450.0</c:v>
                </c:pt>
                <c:pt idx="12">
                  <c:v>42457.0</c:v>
                </c:pt>
                <c:pt idx="13">
                  <c:v>42464.0</c:v>
                </c:pt>
                <c:pt idx="14">
                  <c:v>42471.0</c:v>
                </c:pt>
                <c:pt idx="15">
                  <c:v>42478.0</c:v>
                </c:pt>
                <c:pt idx="16">
                  <c:v>42485.0</c:v>
                </c:pt>
                <c:pt idx="17">
                  <c:v>42492.0</c:v>
                </c:pt>
                <c:pt idx="18">
                  <c:v>42499.0</c:v>
                </c:pt>
                <c:pt idx="19">
                  <c:v>42506.0</c:v>
                </c:pt>
                <c:pt idx="20">
                  <c:v>42513.0</c:v>
                </c:pt>
                <c:pt idx="21">
                  <c:v>42520.0</c:v>
                </c:pt>
                <c:pt idx="22">
                  <c:v>42527.0</c:v>
                </c:pt>
                <c:pt idx="23">
                  <c:v>42534.0</c:v>
                </c:pt>
                <c:pt idx="24">
                  <c:v>42541.0</c:v>
                </c:pt>
                <c:pt idx="25">
                  <c:v>42548.0</c:v>
                </c:pt>
                <c:pt idx="26">
                  <c:v>42555.0</c:v>
                </c:pt>
                <c:pt idx="27">
                  <c:v>42562.0</c:v>
                </c:pt>
                <c:pt idx="28">
                  <c:v>42569.0</c:v>
                </c:pt>
                <c:pt idx="29">
                  <c:v>42576.0</c:v>
                </c:pt>
                <c:pt idx="30">
                  <c:v>42583.0</c:v>
                </c:pt>
                <c:pt idx="31">
                  <c:v>42590.0</c:v>
                </c:pt>
                <c:pt idx="32">
                  <c:v>42597.0</c:v>
                </c:pt>
                <c:pt idx="33">
                  <c:v>42604.0</c:v>
                </c:pt>
                <c:pt idx="34">
                  <c:v>42611.0</c:v>
                </c:pt>
                <c:pt idx="35">
                  <c:v>42618.0</c:v>
                </c:pt>
                <c:pt idx="36">
                  <c:v>42625.0</c:v>
                </c:pt>
                <c:pt idx="37">
                  <c:v>42632.0</c:v>
                </c:pt>
                <c:pt idx="38">
                  <c:v>42639.0</c:v>
                </c:pt>
                <c:pt idx="39">
                  <c:v>42646.0</c:v>
                </c:pt>
                <c:pt idx="40">
                  <c:v>42653.0</c:v>
                </c:pt>
                <c:pt idx="41">
                  <c:v>42660.0</c:v>
                </c:pt>
                <c:pt idx="42">
                  <c:v>42667.0</c:v>
                </c:pt>
                <c:pt idx="43">
                  <c:v>42674.0</c:v>
                </c:pt>
                <c:pt idx="44">
                  <c:v>42681.0</c:v>
                </c:pt>
                <c:pt idx="45">
                  <c:v>42688.0</c:v>
                </c:pt>
                <c:pt idx="46">
                  <c:v>42695.0</c:v>
                </c:pt>
                <c:pt idx="47">
                  <c:v>42702.0</c:v>
                </c:pt>
                <c:pt idx="48">
                  <c:v>42709.0</c:v>
                </c:pt>
                <c:pt idx="49">
                  <c:v>42716.0</c:v>
                </c:pt>
                <c:pt idx="50">
                  <c:v>42723.0</c:v>
                </c:pt>
                <c:pt idx="51">
                  <c:v>42730.0</c:v>
                </c:pt>
                <c:pt idx="52">
                  <c:v>42737.0</c:v>
                </c:pt>
                <c:pt idx="53">
                  <c:v>42744.0</c:v>
                </c:pt>
                <c:pt idx="54">
                  <c:v>42751.0</c:v>
                </c:pt>
                <c:pt idx="55">
                  <c:v>42758.0</c:v>
                </c:pt>
                <c:pt idx="56">
                  <c:v>42765.0</c:v>
                </c:pt>
                <c:pt idx="57">
                  <c:v>42772.0</c:v>
                </c:pt>
                <c:pt idx="58">
                  <c:v>42779.0</c:v>
                </c:pt>
                <c:pt idx="59">
                  <c:v>42786.0</c:v>
                </c:pt>
                <c:pt idx="60">
                  <c:v>42793.0</c:v>
                </c:pt>
                <c:pt idx="61">
                  <c:v>42800.0</c:v>
                </c:pt>
                <c:pt idx="62">
                  <c:v>42807.0</c:v>
                </c:pt>
                <c:pt idx="63">
                  <c:v>42814.0</c:v>
                </c:pt>
                <c:pt idx="64">
                  <c:v>42821.0</c:v>
                </c:pt>
                <c:pt idx="65">
                  <c:v>42828.0</c:v>
                </c:pt>
                <c:pt idx="66">
                  <c:v>42835.0</c:v>
                </c:pt>
                <c:pt idx="67">
                  <c:v>42842.0</c:v>
                </c:pt>
                <c:pt idx="68">
                  <c:v>42849.0</c:v>
                </c:pt>
                <c:pt idx="69">
                  <c:v>42856.0</c:v>
                </c:pt>
                <c:pt idx="70">
                  <c:v>42863.0</c:v>
                </c:pt>
                <c:pt idx="71">
                  <c:v>42870.0</c:v>
                </c:pt>
                <c:pt idx="72">
                  <c:v>42877.0</c:v>
                </c:pt>
                <c:pt idx="73">
                  <c:v>42884.0</c:v>
                </c:pt>
                <c:pt idx="74">
                  <c:v>42891.0</c:v>
                </c:pt>
                <c:pt idx="75">
                  <c:v>42898.0</c:v>
                </c:pt>
                <c:pt idx="76">
                  <c:v>42905.0</c:v>
                </c:pt>
                <c:pt idx="77">
                  <c:v>42912.0</c:v>
                </c:pt>
                <c:pt idx="78">
                  <c:v>42919.0</c:v>
                </c:pt>
                <c:pt idx="79">
                  <c:v>42926.0</c:v>
                </c:pt>
                <c:pt idx="80">
                  <c:v>42933.0</c:v>
                </c:pt>
                <c:pt idx="81">
                  <c:v>42940.0</c:v>
                </c:pt>
                <c:pt idx="82">
                  <c:v>42947.0</c:v>
                </c:pt>
                <c:pt idx="83">
                  <c:v>42954.0</c:v>
                </c:pt>
                <c:pt idx="84">
                  <c:v>42961.0</c:v>
                </c:pt>
                <c:pt idx="85">
                  <c:v>42968.0</c:v>
                </c:pt>
                <c:pt idx="86">
                  <c:v>42975.0</c:v>
                </c:pt>
                <c:pt idx="87">
                  <c:v>42982.0</c:v>
                </c:pt>
                <c:pt idx="88">
                  <c:v>42989.0</c:v>
                </c:pt>
                <c:pt idx="89">
                  <c:v>42996.0</c:v>
                </c:pt>
                <c:pt idx="90">
                  <c:v>43003.0</c:v>
                </c:pt>
                <c:pt idx="91">
                  <c:v>43010.0</c:v>
                </c:pt>
                <c:pt idx="92">
                  <c:v>43017.0</c:v>
                </c:pt>
                <c:pt idx="93">
                  <c:v>43024.0</c:v>
                </c:pt>
                <c:pt idx="94">
                  <c:v>43031.0</c:v>
                </c:pt>
                <c:pt idx="95">
                  <c:v>43038.0</c:v>
                </c:pt>
                <c:pt idx="96">
                  <c:v>43045.0</c:v>
                </c:pt>
                <c:pt idx="97">
                  <c:v>43052.0</c:v>
                </c:pt>
                <c:pt idx="98">
                  <c:v>43059.0</c:v>
                </c:pt>
                <c:pt idx="99">
                  <c:v>43066.0</c:v>
                </c:pt>
                <c:pt idx="100">
                  <c:v>43073.0</c:v>
                </c:pt>
                <c:pt idx="101">
                  <c:v>43080.0</c:v>
                </c:pt>
                <c:pt idx="102">
                  <c:v>43087.0</c:v>
                </c:pt>
                <c:pt idx="103">
                  <c:v>43094.0</c:v>
                </c:pt>
              </c:numCache>
            </c:numRef>
          </c:cat>
          <c:val>
            <c:numRef>
              <c:f>'Unconstrained EF (Q4)'!$C$3:$C$106</c:f>
              <c:numCache>
                <c:formatCode>General</c:formatCode>
                <c:ptCount val="104"/>
                <c:pt idx="0">
                  <c:v>-0.0903844625708764</c:v>
                </c:pt>
                <c:pt idx="1">
                  <c:v>-0.0508111867826261</c:v>
                </c:pt>
                <c:pt idx="2">
                  <c:v>0.00803283285493772</c:v>
                </c:pt>
                <c:pt idx="3">
                  <c:v>0.0299630724558009</c:v>
                </c:pt>
                <c:pt idx="4">
                  <c:v>-0.0315052963142759</c:v>
                </c:pt>
                <c:pt idx="5">
                  <c:v>-0.0660828053210292</c:v>
                </c:pt>
                <c:pt idx="6">
                  <c:v>0.00533765805479036</c:v>
                </c:pt>
                <c:pt idx="7">
                  <c:v>0.0227348337518169</c:v>
                </c:pt>
                <c:pt idx="8">
                  <c:v>0.0438601806866141</c:v>
                </c:pt>
                <c:pt idx="9">
                  <c:v>-0.0142253998807078</c:v>
                </c:pt>
                <c:pt idx="10">
                  <c:v>0.023775528357139</c:v>
                </c:pt>
                <c:pt idx="11">
                  <c:v>-0.0291879863144958</c:v>
                </c:pt>
                <c:pt idx="12">
                  <c:v>0.0445751786198862</c:v>
                </c:pt>
                <c:pt idx="13">
                  <c:v>-0.0596920563286347</c:v>
                </c:pt>
                <c:pt idx="14">
                  <c:v>0.0548307810475821</c:v>
                </c:pt>
                <c:pt idx="15">
                  <c:v>0.0519177695135735</c:v>
                </c:pt>
                <c:pt idx="16">
                  <c:v>-0.0158320369717114</c:v>
                </c:pt>
                <c:pt idx="17">
                  <c:v>-0.0320514907389354</c:v>
                </c:pt>
                <c:pt idx="18">
                  <c:v>-0.0220964463098112</c:v>
                </c:pt>
                <c:pt idx="19">
                  <c:v>-0.00534313266880082</c:v>
                </c:pt>
                <c:pt idx="20">
                  <c:v>0.0324898816626817</c:v>
                </c:pt>
                <c:pt idx="21">
                  <c:v>-0.020196277188915</c:v>
                </c:pt>
                <c:pt idx="22">
                  <c:v>-0.0371297188024184</c:v>
                </c:pt>
                <c:pt idx="23">
                  <c:v>-0.0283542350963228</c:v>
                </c:pt>
                <c:pt idx="24">
                  <c:v>-0.0259542736519106</c:v>
                </c:pt>
                <c:pt idx="25">
                  <c:v>0.0450443612016222</c:v>
                </c:pt>
                <c:pt idx="26">
                  <c:v>0.0143676440554348</c:v>
                </c:pt>
                <c:pt idx="27">
                  <c:v>0.0748770392060525</c:v>
                </c:pt>
                <c:pt idx="28">
                  <c:v>-0.00760947054298389</c:v>
                </c:pt>
                <c:pt idx="29">
                  <c:v>-0.00997472509643215</c:v>
                </c:pt>
                <c:pt idx="30">
                  <c:v>0.0206538462652246</c:v>
                </c:pt>
                <c:pt idx="31">
                  <c:v>0.00715637375393352</c:v>
                </c:pt>
                <c:pt idx="32">
                  <c:v>0.0182542316047474</c:v>
                </c:pt>
                <c:pt idx="33">
                  <c:v>-0.00156399976424593</c:v>
                </c:pt>
                <c:pt idx="34">
                  <c:v>0.0193408697168496</c:v>
                </c:pt>
                <c:pt idx="35">
                  <c:v>0.000290807754219191</c:v>
                </c:pt>
                <c:pt idx="36">
                  <c:v>-0.0152460546441774</c:v>
                </c:pt>
                <c:pt idx="37">
                  <c:v>-0.005241049732571</c:v>
                </c:pt>
                <c:pt idx="38">
                  <c:v>-0.0233754388130543</c:v>
                </c:pt>
                <c:pt idx="39">
                  <c:v>0.0530785649418952</c:v>
                </c:pt>
                <c:pt idx="40">
                  <c:v>0.00406303926205287</c:v>
                </c:pt>
                <c:pt idx="41">
                  <c:v>0.0243372355586779</c:v>
                </c:pt>
                <c:pt idx="42">
                  <c:v>0.0141409360639164</c:v>
                </c:pt>
                <c:pt idx="43">
                  <c:v>-0.00688710068641174</c:v>
                </c:pt>
                <c:pt idx="44">
                  <c:v>0.159276894779017</c:v>
                </c:pt>
                <c:pt idx="45">
                  <c:v>0.0314308312802172</c:v>
                </c:pt>
                <c:pt idx="46">
                  <c:v>0.00489664790928423</c:v>
                </c:pt>
                <c:pt idx="47">
                  <c:v>0.0566751644153098</c:v>
                </c:pt>
                <c:pt idx="48">
                  <c:v>0.0861374679610207</c:v>
                </c:pt>
                <c:pt idx="49">
                  <c:v>-0.0121977007630387</c:v>
                </c:pt>
                <c:pt idx="50">
                  <c:v>0.00866472365305304</c:v>
                </c:pt>
                <c:pt idx="51">
                  <c:v>-0.00630787386731546</c:v>
                </c:pt>
                <c:pt idx="52">
                  <c:v>0.0227603737269255</c:v>
                </c:pt>
                <c:pt idx="53">
                  <c:v>-0.00244989387845229</c:v>
                </c:pt>
                <c:pt idx="54">
                  <c:v>-0.0495292940605051</c:v>
                </c:pt>
                <c:pt idx="55">
                  <c:v>0.0204565461088841</c:v>
                </c:pt>
                <c:pt idx="56">
                  <c:v>0.0168811447964745</c:v>
                </c:pt>
                <c:pt idx="57">
                  <c:v>0.00734600862582302</c:v>
                </c:pt>
                <c:pt idx="58">
                  <c:v>0.0315589557526346</c:v>
                </c:pt>
                <c:pt idx="59">
                  <c:v>-0.0121015582371804</c:v>
                </c:pt>
                <c:pt idx="60">
                  <c:v>0.0223973689622074</c:v>
                </c:pt>
                <c:pt idx="61">
                  <c:v>-0.0152666155791443</c:v>
                </c:pt>
                <c:pt idx="62">
                  <c:v>-0.0178758318083033</c:v>
                </c:pt>
                <c:pt idx="63">
                  <c:v>-0.0636632072534352</c:v>
                </c:pt>
                <c:pt idx="64">
                  <c:v>0.00573531977382768</c:v>
                </c:pt>
                <c:pt idx="65">
                  <c:v>-0.00800979322586115</c:v>
                </c:pt>
                <c:pt idx="66">
                  <c:v>-0.0200104757579328</c:v>
                </c:pt>
                <c:pt idx="67">
                  <c:v>-0.0289271236481998</c:v>
                </c:pt>
                <c:pt idx="68">
                  <c:v>0.0320021560905015</c:v>
                </c:pt>
                <c:pt idx="69">
                  <c:v>0.0137176113296014</c:v>
                </c:pt>
                <c:pt idx="70">
                  <c:v>-0.0178515631277594</c:v>
                </c:pt>
                <c:pt idx="71">
                  <c:v>-0.0333453168108351</c:v>
                </c:pt>
                <c:pt idx="72">
                  <c:v>0.0377918677359417</c:v>
                </c:pt>
                <c:pt idx="73">
                  <c:v>-0.0457209625817372</c:v>
                </c:pt>
                <c:pt idx="74">
                  <c:v>0.0463122248980863</c:v>
                </c:pt>
                <c:pt idx="75">
                  <c:v>-0.00283220723887789</c:v>
                </c:pt>
                <c:pt idx="76">
                  <c:v>-0.0208286041945769</c:v>
                </c:pt>
                <c:pt idx="77">
                  <c:v>0.0216859927917661</c:v>
                </c:pt>
                <c:pt idx="78">
                  <c:v>0.015232073150095</c:v>
                </c:pt>
                <c:pt idx="79">
                  <c:v>0.014737312194111</c:v>
                </c:pt>
                <c:pt idx="80">
                  <c:v>-0.0368329538879636</c:v>
                </c:pt>
                <c:pt idx="81">
                  <c:v>0.0155781919658069</c:v>
                </c:pt>
                <c:pt idx="82">
                  <c:v>0.0276373722682333</c:v>
                </c:pt>
                <c:pt idx="83">
                  <c:v>-0.0245440839748483</c:v>
                </c:pt>
                <c:pt idx="84">
                  <c:v>-0.00892262045817604</c:v>
                </c:pt>
                <c:pt idx="85">
                  <c:v>0.0014404238485981</c:v>
                </c:pt>
                <c:pt idx="86">
                  <c:v>0.0153280214424314</c:v>
                </c:pt>
                <c:pt idx="87">
                  <c:v>-0.0350990406490529</c:v>
                </c:pt>
                <c:pt idx="88">
                  <c:v>0.0368766931753188</c:v>
                </c:pt>
                <c:pt idx="89">
                  <c:v>0.0257969765420443</c:v>
                </c:pt>
                <c:pt idx="90">
                  <c:v>0.0266632631983699</c:v>
                </c:pt>
                <c:pt idx="91">
                  <c:v>0.0372275372032698</c:v>
                </c:pt>
                <c:pt idx="92">
                  <c:v>-0.0304446824553195</c:v>
                </c:pt>
                <c:pt idx="93">
                  <c:v>0.0259925150755567</c:v>
                </c:pt>
                <c:pt idx="94">
                  <c:v>-0.0123400839092488</c:v>
                </c:pt>
                <c:pt idx="95">
                  <c:v>0.0111290009676375</c:v>
                </c:pt>
                <c:pt idx="96">
                  <c:v>-0.0173895580389153</c:v>
                </c:pt>
                <c:pt idx="97">
                  <c:v>-0.00886943450891908</c:v>
                </c:pt>
                <c:pt idx="98">
                  <c:v>-0.00869677642741262</c:v>
                </c:pt>
                <c:pt idx="99">
                  <c:v>0.055096416882265</c:v>
                </c:pt>
                <c:pt idx="100">
                  <c:v>0.00878389844739757</c:v>
                </c:pt>
                <c:pt idx="101">
                  <c:v>0.0272418887020118</c:v>
                </c:pt>
                <c:pt idx="102">
                  <c:v>0.00699921417354376</c:v>
                </c:pt>
                <c:pt idx="103">
                  <c:v>-0.0162567323772764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BC-7F4A-A90B-3F8C22225FBC}"/>
            </c:ext>
          </c:extLst>
        </c:ser>
        <c:ser>
          <c:idx val="2"/>
          <c:order val="2"/>
          <c:tx>
            <c:v>ADTN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42373.0</c:v>
                </c:pt>
                <c:pt idx="1">
                  <c:v>42380.0</c:v>
                </c:pt>
                <c:pt idx="2">
                  <c:v>42387.0</c:v>
                </c:pt>
                <c:pt idx="3">
                  <c:v>42394.0</c:v>
                </c:pt>
                <c:pt idx="4">
                  <c:v>42401.0</c:v>
                </c:pt>
                <c:pt idx="5">
                  <c:v>42408.0</c:v>
                </c:pt>
                <c:pt idx="6">
                  <c:v>42415.0</c:v>
                </c:pt>
                <c:pt idx="7">
                  <c:v>42422.0</c:v>
                </c:pt>
                <c:pt idx="8">
                  <c:v>42429.0</c:v>
                </c:pt>
                <c:pt idx="9">
                  <c:v>42436.0</c:v>
                </c:pt>
                <c:pt idx="10">
                  <c:v>42443.0</c:v>
                </c:pt>
                <c:pt idx="11">
                  <c:v>42450.0</c:v>
                </c:pt>
                <c:pt idx="12">
                  <c:v>42457.0</c:v>
                </c:pt>
                <c:pt idx="13">
                  <c:v>42464.0</c:v>
                </c:pt>
                <c:pt idx="14">
                  <c:v>42471.0</c:v>
                </c:pt>
                <c:pt idx="15">
                  <c:v>42478.0</c:v>
                </c:pt>
                <c:pt idx="16">
                  <c:v>42485.0</c:v>
                </c:pt>
                <c:pt idx="17">
                  <c:v>42492.0</c:v>
                </c:pt>
                <c:pt idx="18">
                  <c:v>42499.0</c:v>
                </c:pt>
                <c:pt idx="19">
                  <c:v>42506.0</c:v>
                </c:pt>
                <c:pt idx="20">
                  <c:v>42513.0</c:v>
                </c:pt>
                <c:pt idx="21">
                  <c:v>42520.0</c:v>
                </c:pt>
                <c:pt idx="22">
                  <c:v>42527.0</c:v>
                </c:pt>
                <c:pt idx="23">
                  <c:v>42534.0</c:v>
                </c:pt>
                <c:pt idx="24">
                  <c:v>42541.0</c:v>
                </c:pt>
                <c:pt idx="25">
                  <c:v>42548.0</c:v>
                </c:pt>
                <c:pt idx="26">
                  <c:v>42555.0</c:v>
                </c:pt>
                <c:pt idx="27">
                  <c:v>42562.0</c:v>
                </c:pt>
                <c:pt idx="28">
                  <c:v>42569.0</c:v>
                </c:pt>
                <c:pt idx="29">
                  <c:v>42576.0</c:v>
                </c:pt>
                <c:pt idx="30">
                  <c:v>42583.0</c:v>
                </c:pt>
                <c:pt idx="31">
                  <c:v>42590.0</c:v>
                </c:pt>
                <c:pt idx="32">
                  <c:v>42597.0</c:v>
                </c:pt>
                <c:pt idx="33">
                  <c:v>42604.0</c:v>
                </c:pt>
                <c:pt idx="34">
                  <c:v>42611.0</c:v>
                </c:pt>
                <c:pt idx="35">
                  <c:v>42618.0</c:v>
                </c:pt>
                <c:pt idx="36">
                  <c:v>42625.0</c:v>
                </c:pt>
                <c:pt idx="37">
                  <c:v>42632.0</c:v>
                </c:pt>
                <c:pt idx="38">
                  <c:v>42639.0</c:v>
                </c:pt>
                <c:pt idx="39">
                  <c:v>42646.0</c:v>
                </c:pt>
                <c:pt idx="40">
                  <c:v>42653.0</c:v>
                </c:pt>
                <c:pt idx="41">
                  <c:v>42660.0</c:v>
                </c:pt>
                <c:pt idx="42">
                  <c:v>42667.0</c:v>
                </c:pt>
                <c:pt idx="43">
                  <c:v>42674.0</c:v>
                </c:pt>
                <c:pt idx="44">
                  <c:v>42681.0</c:v>
                </c:pt>
                <c:pt idx="45">
                  <c:v>42688.0</c:v>
                </c:pt>
                <c:pt idx="46">
                  <c:v>42695.0</c:v>
                </c:pt>
                <c:pt idx="47">
                  <c:v>42702.0</c:v>
                </c:pt>
                <c:pt idx="48">
                  <c:v>42709.0</c:v>
                </c:pt>
                <c:pt idx="49">
                  <c:v>42716.0</c:v>
                </c:pt>
                <c:pt idx="50">
                  <c:v>42723.0</c:v>
                </c:pt>
                <c:pt idx="51">
                  <c:v>42730.0</c:v>
                </c:pt>
                <c:pt idx="52">
                  <c:v>42737.0</c:v>
                </c:pt>
                <c:pt idx="53">
                  <c:v>42744.0</c:v>
                </c:pt>
                <c:pt idx="54">
                  <c:v>42751.0</c:v>
                </c:pt>
                <c:pt idx="55">
                  <c:v>42758.0</c:v>
                </c:pt>
                <c:pt idx="56">
                  <c:v>42765.0</c:v>
                </c:pt>
                <c:pt idx="57">
                  <c:v>42772.0</c:v>
                </c:pt>
                <c:pt idx="58">
                  <c:v>42779.0</c:v>
                </c:pt>
                <c:pt idx="59">
                  <c:v>42786.0</c:v>
                </c:pt>
                <c:pt idx="60">
                  <c:v>42793.0</c:v>
                </c:pt>
                <c:pt idx="61">
                  <c:v>42800.0</c:v>
                </c:pt>
                <c:pt idx="62">
                  <c:v>42807.0</c:v>
                </c:pt>
                <c:pt idx="63">
                  <c:v>42814.0</c:v>
                </c:pt>
                <c:pt idx="64">
                  <c:v>42821.0</c:v>
                </c:pt>
                <c:pt idx="65">
                  <c:v>42828.0</c:v>
                </c:pt>
                <c:pt idx="66">
                  <c:v>42835.0</c:v>
                </c:pt>
                <c:pt idx="67">
                  <c:v>42842.0</c:v>
                </c:pt>
                <c:pt idx="68">
                  <c:v>42849.0</c:v>
                </c:pt>
                <c:pt idx="69">
                  <c:v>42856.0</c:v>
                </c:pt>
                <c:pt idx="70">
                  <c:v>42863.0</c:v>
                </c:pt>
                <c:pt idx="71">
                  <c:v>42870.0</c:v>
                </c:pt>
                <c:pt idx="72">
                  <c:v>42877.0</c:v>
                </c:pt>
                <c:pt idx="73">
                  <c:v>42884.0</c:v>
                </c:pt>
                <c:pt idx="74">
                  <c:v>42891.0</c:v>
                </c:pt>
                <c:pt idx="75">
                  <c:v>42898.0</c:v>
                </c:pt>
                <c:pt idx="76">
                  <c:v>42905.0</c:v>
                </c:pt>
                <c:pt idx="77">
                  <c:v>42912.0</c:v>
                </c:pt>
                <c:pt idx="78">
                  <c:v>42919.0</c:v>
                </c:pt>
                <c:pt idx="79">
                  <c:v>42926.0</c:v>
                </c:pt>
                <c:pt idx="80">
                  <c:v>42933.0</c:v>
                </c:pt>
                <c:pt idx="81">
                  <c:v>42940.0</c:v>
                </c:pt>
                <c:pt idx="82">
                  <c:v>42947.0</c:v>
                </c:pt>
                <c:pt idx="83">
                  <c:v>42954.0</c:v>
                </c:pt>
                <c:pt idx="84">
                  <c:v>42961.0</c:v>
                </c:pt>
                <c:pt idx="85">
                  <c:v>42968.0</c:v>
                </c:pt>
                <c:pt idx="86">
                  <c:v>42975.0</c:v>
                </c:pt>
                <c:pt idx="87">
                  <c:v>42982.0</c:v>
                </c:pt>
                <c:pt idx="88">
                  <c:v>42989.0</c:v>
                </c:pt>
                <c:pt idx="89">
                  <c:v>42996.0</c:v>
                </c:pt>
                <c:pt idx="90">
                  <c:v>43003.0</c:v>
                </c:pt>
                <c:pt idx="91">
                  <c:v>43010.0</c:v>
                </c:pt>
                <c:pt idx="92">
                  <c:v>43017.0</c:v>
                </c:pt>
                <c:pt idx="93">
                  <c:v>43024.0</c:v>
                </c:pt>
                <c:pt idx="94">
                  <c:v>43031.0</c:v>
                </c:pt>
                <c:pt idx="95">
                  <c:v>43038.0</c:v>
                </c:pt>
                <c:pt idx="96">
                  <c:v>43045.0</c:v>
                </c:pt>
                <c:pt idx="97">
                  <c:v>43052.0</c:v>
                </c:pt>
                <c:pt idx="98">
                  <c:v>43059.0</c:v>
                </c:pt>
                <c:pt idx="99">
                  <c:v>43066.0</c:v>
                </c:pt>
                <c:pt idx="100">
                  <c:v>43073.0</c:v>
                </c:pt>
                <c:pt idx="101">
                  <c:v>43080.0</c:v>
                </c:pt>
                <c:pt idx="102">
                  <c:v>43087.0</c:v>
                </c:pt>
                <c:pt idx="103">
                  <c:v>43094.0</c:v>
                </c:pt>
              </c:numCache>
            </c:numRef>
          </c:cat>
          <c:val>
            <c:numRef>
              <c:f>'Unconstrained EF (Q4)'!$G$3:$G$106</c:f>
              <c:numCache>
                <c:formatCode>General</c:formatCode>
                <c:ptCount val="104"/>
                <c:pt idx="0">
                  <c:v>-0.00232285287052225</c:v>
                </c:pt>
                <c:pt idx="1">
                  <c:v>0.0122233554869284</c:v>
                </c:pt>
                <c:pt idx="2">
                  <c:v>0.0833813417337989</c:v>
                </c:pt>
                <c:pt idx="3">
                  <c:v>-0.0360933801828371</c:v>
                </c:pt>
                <c:pt idx="4">
                  <c:v>0.00715883581547194</c:v>
                </c:pt>
                <c:pt idx="5">
                  <c:v>-0.0192148902870467</c:v>
                </c:pt>
                <c:pt idx="6">
                  <c:v>0.0336132998014584</c:v>
                </c:pt>
                <c:pt idx="7">
                  <c:v>0.0184284107759465</c:v>
                </c:pt>
                <c:pt idx="8">
                  <c:v>-0.0218203576742968</c:v>
                </c:pt>
                <c:pt idx="9">
                  <c:v>0.0467899974120258</c:v>
                </c:pt>
                <c:pt idx="10">
                  <c:v>0.0187110268962989</c:v>
                </c:pt>
                <c:pt idx="11">
                  <c:v>-0.0102039330694077</c:v>
                </c:pt>
                <c:pt idx="12">
                  <c:v>0.0355669578410869</c:v>
                </c:pt>
                <c:pt idx="13">
                  <c:v>-0.0179194720828857</c:v>
                </c:pt>
                <c:pt idx="14">
                  <c:v>0.0288899841235388</c:v>
                </c:pt>
                <c:pt idx="15">
                  <c:v>-0.0428570011902067</c:v>
                </c:pt>
                <c:pt idx="16">
                  <c:v>-0.00566138289799556</c:v>
                </c:pt>
                <c:pt idx="17">
                  <c:v>-0.0218620978947362</c:v>
                </c:pt>
                <c:pt idx="18">
                  <c:v>-0.0122276937867215</c:v>
                </c:pt>
                <c:pt idx="19">
                  <c:v>-0.00322900126322734</c:v>
                </c:pt>
                <c:pt idx="20">
                  <c:v>0.0372568187022546</c:v>
                </c:pt>
                <c:pt idx="21">
                  <c:v>0.00676721042394068</c:v>
                </c:pt>
                <c:pt idx="22">
                  <c:v>-0.0263701942192498</c:v>
                </c:pt>
                <c:pt idx="23">
                  <c:v>-0.0175250906565724</c:v>
                </c:pt>
                <c:pt idx="24">
                  <c:v>-0.0378377626931509</c:v>
                </c:pt>
                <c:pt idx="25">
                  <c:v>0.0550561357668262</c:v>
                </c:pt>
                <c:pt idx="26">
                  <c:v>0.0303514085314196</c:v>
                </c:pt>
                <c:pt idx="27">
                  <c:v>-0.0671834429466134</c:v>
                </c:pt>
                <c:pt idx="28">
                  <c:v>-0.00332427123132628</c:v>
                </c:pt>
                <c:pt idx="29">
                  <c:v>0.0116732967359026</c:v>
                </c:pt>
                <c:pt idx="30">
                  <c:v>-0.00930444277736208</c:v>
                </c:pt>
                <c:pt idx="31">
                  <c:v>0.0150499651027922</c:v>
                </c:pt>
                <c:pt idx="32">
                  <c:v>-0.00549122951271608</c:v>
                </c:pt>
                <c:pt idx="33">
                  <c:v>0.0204305223213537</c:v>
                </c:pt>
                <c:pt idx="34">
                  <c:v>0.0189393621322753</c:v>
                </c:pt>
                <c:pt idx="35">
                  <c:v>-0.0249601880563458</c:v>
                </c:pt>
                <c:pt idx="36">
                  <c:v>-0.0108931804584133</c:v>
                </c:pt>
                <c:pt idx="37">
                  <c:v>0.0435020900558365</c:v>
                </c:pt>
                <c:pt idx="38">
                  <c:v>0.0100263088722228</c:v>
                </c:pt>
                <c:pt idx="39">
                  <c:v>0.0135842406872177</c:v>
                </c:pt>
                <c:pt idx="40">
                  <c:v>-0.0685567055090268</c:v>
                </c:pt>
                <c:pt idx="41">
                  <c:v>0.0570007156148433</c:v>
                </c:pt>
                <c:pt idx="42">
                  <c:v>-0.0549740467859465</c:v>
                </c:pt>
                <c:pt idx="43">
                  <c:v>-0.00831017139700052</c:v>
                </c:pt>
                <c:pt idx="44">
                  <c:v>0.12288648941231</c:v>
                </c:pt>
                <c:pt idx="45">
                  <c:v>0.0</c:v>
                </c:pt>
                <c:pt idx="46">
                  <c:v>0.0350001242426439</c:v>
                </c:pt>
                <c:pt idx="47">
                  <c:v>-0.00724658514931442</c:v>
                </c:pt>
                <c:pt idx="48">
                  <c:v>0.090024466621043</c:v>
                </c:pt>
                <c:pt idx="49">
                  <c:v>0.0133929237845634</c:v>
                </c:pt>
                <c:pt idx="50">
                  <c:v>0.00440517283242214</c:v>
                </c:pt>
                <c:pt idx="51">
                  <c:v>-0.0197368739721569</c:v>
                </c:pt>
                <c:pt idx="52">
                  <c:v>-0.00447415829296605</c:v>
                </c:pt>
                <c:pt idx="53">
                  <c:v>0.0</c:v>
                </c:pt>
                <c:pt idx="54">
                  <c:v>-0.0044944501854075</c:v>
                </c:pt>
                <c:pt idx="55">
                  <c:v>-0.0158013181360952</c:v>
                </c:pt>
                <c:pt idx="56">
                  <c:v>-0.00229361283916596</c:v>
                </c:pt>
                <c:pt idx="57">
                  <c:v>-0.000461732936697157</c:v>
                </c:pt>
                <c:pt idx="58">
                  <c:v>0.00230963708928233</c:v>
                </c:pt>
                <c:pt idx="59">
                  <c:v>-0.00230431495799011</c:v>
                </c:pt>
                <c:pt idx="60">
                  <c:v>-0.0046188038127849</c:v>
                </c:pt>
                <c:pt idx="61">
                  <c:v>-0.0139212755177313</c:v>
                </c:pt>
                <c:pt idx="62">
                  <c:v>0.0164707344818824</c:v>
                </c:pt>
                <c:pt idx="63">
                  <c:v>-0.0231482291248299</c:v>
                </c:pt>
                <c:pt idx="64">
                  <c:v>-0.0165875826865857</c:v>
                </c:pt>
                <c:pt idx="65">
                  <c:v>-0.0337350867526593</c:v>
                </c:pt>
                <c:pt idx="66">
                  <c:v>-0.0473814441744442</c:v>
                </c:pt>
                <c:pt idx="67">
                  <c:v>0.0287957745318681</c:v>
                </c:pt>
                <c:pt idx="68">
                  <c:v>0.0178117579772963</c:v>
                </c:pt>
                <c:pt idx="69">
                  <c:v>0.00500000738297812</c:v>
                </c:pt>
                <c:pt idx="70">
                  <c:v>0.00449772696989603</c:v>
                </c:pt>
                <c:pt idx="71">
                  <c:v>-0.0273631386612811</c:v>
                </c:pt>
                <c:pt idx="72">
                  <c:v>0.0179027686050526</c:v>
                </c:pt>
                <c:pt idx="73">
                  <c:v>0.0251255956288161</c:v>
                </c:pt>
                <c:pt idx="74">
                  <c:v>0.0122548864919347</c:v>
                </c:pt>
                <c:pt idx="75">
                  <c:v>-0.0121065224336978</c:v>
                </c:pt>
                <c:pt idx="76">
                  <c:v>-0.0245097729838694</c:v>
                </c:pt>
                <c:pt idx="77">
                  <c:v>0.0376883934432244</c:v>
                </c:pt>
                <c:pt idx="78">
                  <c:v>-0.00726388400407918</c:v>
                </c:pt>
                <c:pt idx="79">
                  <c:v>-0.00487807218009839</c:v>
                </c:pt>
                <c:pt idx="80">
                  <c:v>0.142156852270129</c:v>
                </c:pt>
                <c:pt idx="81">
                  <c:v>-0.00429173569159658</c:v>
                </c:pt>
                <c:pt idx="82">
                  <c:v>-0.0323275858301939</c:v>
                </c:pt>
                <c:pt idx="83">
                  <c:v>-0.0252121039702322</c:v>
                </c:pt>
                <c:pt idx="84">
                  <c:v>-0.00917425965128282</c:v>
                </c:pt>
                <c:pt idx="85">
                  <c:v>0.0300925597997013</c:v>
                </c:pt>
                <c:pt idx="86">
                  <c:v>0.0</c:v>
                </c:pt>
                <c:pt idx="87">
                  <c:v>-0.0247190959217823</c:v>
                </c:pt>
                <c:pt idx="88">
                  <c:v>0.0345622468320248</c:v>
                </c:pt>
                <c:pt idx="89">
                  <c:v>0.00890863467301428</c:v>
                </c:pt>
                <c:pt idx="90">
                  <c:v>0.0596026209553189</c:v>
                </c:pt>
                <c:pt idx="91">
                  <c:v>0.0104166916509554</c:v>
                </c:pt>
                <c:pt idx="92">
                  <c:v>-0.00206180226146502</c:v>
                </c:pt>
                <c:pt idx="93">
                  <c:v>-0.0929751719506648</c:v>
                </c:pt>
                <c:pt idx="94">
                  <c:v>-0.0250570323941791</c:v>
                </c:pt>
                <c:pt idx="95">
                  <c:v>-0.0257009293972304</c:v>
                </c:pt>
                <c:pt idx="96">
                  <c:v>-0.00536981199264463</c:v>
                </c:pt>
                <c:pt idx="97">
                  <c:v>0.0290555738117171</c:v>
                </c:pt>
                <c:pt idx="98">
                  <c:v>0.0494118328503437</c:v>
                </c:pt>
                <c:pt idx="99">
                  <c:v>0.0224214961511073</c:v>
                </c:pt>
                <c:pt idx="100">
                  <c:v>-0.0285087408819173</c:v>
                </c:pt>
                <c:pt idx="101">
                  <c:v>-0.0112867354163818</c:v>
                </c:pt>
                <c:pt idx="102">
                  <c:v>0.0296803795544449</c:v>
                </c:pt>
                <c:pt idx="103">
                  <c:v>-0.141906823185919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BC-7F4A-A90B-3F8C22225FBC}"/>
            </c:ext>
          </c:extLst>
        </c:ser>
        <c:ser>
          <c:idx val="3"/>
          <c:order val="3"/>
          <c:tx>
            <c:v>LQD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42373.0</c:v>
                </c:pt>
                <c:pt idx="1">
                  <c:v>42380.0</c:v>
                </c:pt>
                <c:pt idx="2">
                  <c:v>42387.0</c:v>
                </c:pt>
                <c:pt idx="3">
                  <c:v>42394.0</c:v>
                </c:pt>
                <c:pt idx="4">
                  <c:v>42401.0</c:v>
                </c:pt>
                <c:pt idx="5">
                  <c:v>42408.0</c:v>
                </c:pt>
                <c:pt idx="6">
                  <c:v>42415.0</c:v>
                </c:pt>
                <c:pt idx="7">
                  <c:v>42422.0</c:v>
                </c:pt>
                <c:pt idx="8">
                  <c:v>42429.0</c:v>
                </c:pt>
                <c:pt idx="9">
                  <c:v>42436.0</c:v>
                </c:pt>
                <c:pt idx="10">
                  <c:v>42443.0</c:v>
                </c:pt>
                <c:pt idx="11">
                  <c:v>42450.0</c:v>
                </c:pt>
                <c:pt idx="12">
                  <c:v>42457.0</c:v>
                </c:pt>
                <c:pt idx="13">
                  <c:v>42464.0</c:v>
                </c:pt>
                <c:pt idx="14">
                  <c:v>42471.0</c:v>
                </c:pt>
                <c:pt idx="15">
                  <c:v>42478.0</c:v>
                </c:pt>
                <c:pt idx="16">
                  <c:v>42485.0</c:v>
                </c:pt>
                <c:pt idx="17">
                  <c:v>42492.0</c:v>
                </c:pt>
                <c:pt idx="18">
                  <c:v>42499.0</c:v>
                </c:pt>
                <c:pt idx="19">
                  <c:v>42506.0</c:v>
                </c:pt>
                <c:pt idx="20">
                  <c:v>42513.0</c:v>
                </c:pt>
                <c:pt idx="21">
                  <c:v>42520.0</c:v>
                </c:pt>
                <c:pt idx="22">
                  <c:v>42527.0</c:v>
                </c:pt>
                <c:pt idx="23">
                  <c:v>42534.0</c:v>
                </c:pt>
                <c:pt idx="24">
                  <c:v>42541.0</c:v>
                </c:pt>
                <c:pt idx="25">
                  <c:v>42548.0</c:v>
                </c:pt>
                <c:pt idx="26">
                  <c:v>42555.0</c:v>
                </c:pt>
                <c:pt idx="27">
                  <c:v>42562.0</c:v>
                </c:pt>
                <c:pt idx="28">
                  <c:v>42569.0</c:v>
                </c:pt>
                <c:pt idx="29">
                  <c:v>42576.0</c:v>
                </c:pt>
                <c:pt idx="30">
                  <c:v>42583.0</c:v>
                </c:pt>
                <c:pt idx="31">
                  <c:v>42590.0</c:v>
                </c:pt>
                <c:pt idx="32">
                  <c:v>42597.0</c:v>
                </c:pt>
                <c:pt idx="33">
                  <c:v>42604.0</c:v>
                </c:pt>
                <c:pt idx="34">
                  <c:v>42611.0</c:v>
                </c:pt>
                <c:pt idx="35">
                  <c:v>42618.0</c:v>
                </c:pt>
                <c:pt idx="36">
                  <c:v>42625.0</c:v>
                </c:pt>
                <c:pt idx="37">
                  <c:v>42632.0</c:v>
                </c:pt>
                <c:pt idx="38">
                  <c:v>42639.0</c:v>
                </c:pt>
                <c:pt idx="39">
                  <c:v>42646.0</c:v>
                </c:pt>
                <c:pt idx="40">
                  <c:v>42653.0</c:v>
                </c:pt>
                <c:pt idx="41">
                  <c:v>42660.0</c:v>
                </c:pt>
                <c:pt idx="42">
                  <c:v>42667.0</c:v>
                </c:pt>
                <c:pt idx="43">
                  <c:v>42674.0</c:v>
                </c:pt>
                <c:pt idx="44">
                  <c:v>42681.0</c:v>
                </c:pt>
                <c:pt idx="45">
                  <c:v>42688.0</c:v>
                </c:pt>
                <c:pt idx="46">
                  <c:v>42695.0</c:v>
                </c:pt>
                <c:pt idx="47">
                  <c:v>42702.0</c:v>
                </c:pt>
                <c:pt idx="48">
                  <c:v>42709.0</c:v>
                </c:pt>
                <c:pt idx="49">
                  <c:v>42716.0</c:v>
                </c:pt>
                <c:pt idx="50">
                  <c:v>42723.0</c:v>
                </c:pt>
                <c:pt idx="51">
                  <c:v>42730.0</c:v>
                </c:pt>
                <c:pt idx="52">
                  <c:v>42737.0</c:v>
                </c:pt>
                <c:pt idx="53">
                  <c:v>42744.0</c:v>
                </c:pt>
                <c:pt idx="54">
                  <c:v>42751.0</c:v>
                </c:pt>
                <c:pt idx="55">
                  <c:v>42758.0</c:v>
                </c:pt>
                <c:pt idx="56">
                  <c:v>42765.0</c:v>
                </c:pt>
                <c:pt idx="57">
                  <c:v>42772.0</c:v>
                </c:pt>
                <c:pt idx="58">
                  <c:v>42779.0</c:v>
                </c:pt>
                <c:pt idx="59">
                  <c:v>42786.0</c:v>
                </c:pt>
                <c:pt idx="60">
                  <c:v>42793.0</c:v>
                </c:pt>
                <c:pt idx="61">
                  <c:v>42800.0</c:v>
                </c:pt>
                <c:pt idx="62">
                  <c:v>42807.0</c:v>
                </c:pt>
                <c:pt idx="63">
                  <c:v>42814.0</c:v>
                </c:pt>
                <c:pt idx="64">
                  <c:v>42821.0</c:v>
                </c:pt>
                <c:pt idx="65">
                  <c:v>42828.0</c:v>
                </c:pt>
                <c:pt idx="66">
                  <c:v>42835.0</c:v>
                </c:pt>
                <c:pt idx="67">
                  <c:v>42842.0</c:v>
                </c:pt>
                <c:pt idx="68">
                  <c:v>42849.0</c:v>
                </c:pt>
                <c:pt idx="69">
                  <c:v>42856.0</c:v>
                </c:pt>
                <c:pt idx="70">
                  <c:v>42863.0</c:v>
                </c:pt>
                <c:pt idx="71">
                  <c:v>42870.0</c:v>
                </c:pt>
                <c:pt idx="72">
                  <c:v>42877.0</c:v>
                </c:pt>
                <c:pt idx="73">
                  <c:v>42884.0</c:v>
                </c:pt>
                <c:pt idx="74">
                  <c:v>42891.0</c:v>
                </c:pt>
                <c:pt idx="75">
                  <c:v>42898.0</c:v>
                </c:pt>
                <c:pt idx="76">
                  <c:v>42905.0</c:v>
                </c:pt>
                <c:pt idx="77">
                  <c:v>42912.0</c:v>
                </c:pt>
                <c:pt idx="78">
                  <c:v>42919.0</c:v>
                </c:pt>
                <c:pt idx="79">
                  <c:v>42926.0</c:v>
                </c:pt>
                <c:pt idx="80">
                  <c:v>42933.0</c:v>
                </c:pt>
                <c:pt idx="81">
                  <c:v>42940.0</c:v>
                </c:pt>
                <c:pt idx="82">
                  <c:v>42947.0</c:v>
                </c:pt>
                <c:pt idx="83">
                  <c:v>42954.0</c:v>
                </c:pt>
                <c:pt idx="84">
                  <c:v>42961.0</c:v>
                </c:pt>
                <c:pt idx="85">
                  <c:v>42968.0</c:v>
                </c:pt>
                <c:pt idx="86">
                  <c:v>42975.0</c:v>
                </c:pt>
                <c:pt idx="87">
                  <c:v>42982.0</c:v>
                </c:pt>
                <c:pt idx="88">
                  <c:v>42989.0</c:v>
                </c:pt>
                <c:pt idx="89">
                  <c:v>42996.0</c:v>
                </c:pt>
                <c:pt idx="90">
                  <c:v>43003.0</c:v>
                </c:pt>
                <c:pt idx="91">
                  <c:v>43010.0</c:v>
                </c:pt>
                <c:pt idx="92">
                  <c:v>43017.0</c:v>
                </c:pt>
                <c:pt idx="93">
                  <c:v>43024.0</c:v>
                </c:pt>
                <c:pt idx="94">
                  <c:v>43031.0</c:v>
                </c:pt>
                <c:pt idx="95">
                  <c:v>43038.0</c:v>
                </c:pt>
                <c:pt idx="96">
                  <c:v>43045.0</c:v>
                </c:pt>
                <c:pt idx="97">
                  <c:v>43052.0</c:v>
                </c:pt>
                <c:pt idx="98">
                  <c:v>43059.0</c:v>
                </c:pt>
                <c:pt idx="99">
                  <c:v>43066.0</c:v>
                </c:pt>
                <c:pt idx="100">
                  <c:v>43073.0</c:v>
                </c:pt>
                <c:pt idx="101">
                  <c:v>43080.0</c:v>
                </c:pt>
                <c:pt idx="102">
                  <c:v>43087.0</c:v>
                </c:pt>
                <c:pt idx="103">
                  <c:v>43094.0</c:v>
                </c:pt>
              </c:numCache>
            </c:numRef>
          </c:cat>
          <c:val>
            <c:numRef>
              <c:f>'Unconstrained EF (Q4)'!$I$3:$I$106</c:f>
              <c:numCache>
                <c:formatCode>General</c:formatCode>
                <c:ptCount val="104"/>
                <c:pt idx="0">
                  <c:v>0.00552597488511908</c:v>
                </c:pt>
                <c:pt idx="1">
                  <c:v>-0.00436143152899548</c:v>
                </c:pt>
                <c:pt idx="2">
                  <c:v>-0.005256891632895</c:v>
                </c:pt>
                <c:pt idx="3">
                  <c:v>0.00537246794821788</c:v>
                </c:pt>
                <c:pt idx="4">
                  <c:v>-0.00648272743264322</c:v>
                </c:pt>
                <c:pt idx="5">
                  <c:v>0.00366865682673811</c:v>
                </c:pt>
                <c:pt idx="6">
                  <c:v>0.00237924660538002</c:v>
                </c:pt>
                <c:pt idx="7">
                  <c:v>0.0102846064383766</c:v>
                </c:pt>
                <c:pt idx="8">
                  <c:v>-0.00113101557616768</c:v>
                </c:pt>
                <c:pt idx="9">
                  <c:v>0.0153265936760774</c:v>
                </c:pt>
                <c:pt idx="10">
                  <c:v>0.0128206610332435</c:v>
                </c:pt>
                <c:pt idx="11">
                  <c:v>0.00152926631157491</c:v>
                </c:pt>
                <c:pt idx="12">
                  <c:v>0.00831289350776121</c:v>
                </c:pt>
                <c:pt idx="13">
                  <c:v>0.00567002390413163</c:v>
                </c:pt>
                <c:pt idx="14">
                  <c:v>0.00293584303096717</c:v>
                </c:pt>
                <c:pt idx="15">
                  <c:v>0.000836575991395749</c:v>
                </c:pt>
                <c:pt idx="16">
                  <c:v>0.00559920736766317</c:v>
                </c:pt>
                <c:pt idx="17">
                  <c:v>-0.00407207514425722</c:v>
                </c:pt>
                <c:pt idx="18">
                  <c:v>0.00421417309178551</c:v>
                </c:pt>
                <c:pt idx="19">
                  <c:v>-0.00916502108641859</c:v>
                </c:pt>
                <c:pt idx="20">
                  <c:v>0.00218618927059788</c:v>
                </c:pt>
                <c:pt idx="21">
                  <c:v>0.00973329761348629</c:v>
                </c:pt>
                <c:pt idx="22">
                  <c:v>0.00780521234601061</c:v>
                </c:pt>
                <c:pt idx="23">
                  <c:v>-0.0014883526185433</c:v>
                </c:pt>
                <c:pt idx="24">
                  <c:v>0.00339526492941156</c:v>
                </c:pt>
                <c:pt idx="25">
                  <c:v>0.0155153493995521</c:v>
                </c:pt>
                <c:pt idx="26">
                  <c:v>0.0137047424739587</c:v>
                </c:pt>
                <c:pt idx="27">
                  <c:v>-0.0105303761529908</c:v>
                </c:pt>
                <c:pt idx="28">
                  <c:v>0.0020308083109899</c:v>
                </c:pt>
                <c:pt idx="29">
                  <c:v>0.00527011646147102</c:v>
                </c:pt>
                <c:pt idx="30">
                  <c:v>-0.0123396444295101</c:v>
                </c:pt>
                <c:pt idx="31">
                  <c:v>0.0132552346535189</c:v>
                </c:pt>
                <c:pt idx="32">
                  <c:v>-0.00266633155465201</c:v>
                </c:pt>
                <c:pt idx="33">
                  <c:v>-0.000243247240647948</c:v>
                </c:pt>
                <c:pt idx="34">
                  <c:v>-0.000405122658583612</c:v>
                </c:pt>
                <c:pt idx="35">
                  <c:v>-0.00984786008058924</c:v>
                </c:pt>
                <c:pt idx="36">
                  <c:v>-0.000738859926598612</c:v>
                </c:pt>
                <c:pt idx="37">
                  <c:v>0.00944718205372541</c:v>
                </c:pt>
                <c:pt idx="38">
                  <c:v>0.00244153876598263</c:v>
                </c:pt>
                <c:pt idx="39">
                  <c:v>-0.00868643343396103</c:v>
                </c:pt>
                <c:pt idx="40">
                  <c:v>-0.00140245249235216</c:v>
                </c:pt>
                <c:pt idx="41">
                  <c:v>0.00731794999553226</c:v>
                </c:pt>
                <c:pt idx="42">
                  <c:v>-0.0133867003831902</c:v>
                </c:pt>
                <c:pt idx="43">
                  <c:v>-0.000496464513484618</c:v>
                </c:pt>
                <c:pt idx="44">
                  <c:v>-0.0200214832780242</c:v>
                </c:pt>
                <c:pt idx="45">
                  <c:v>-0.0126185610254856</c:v>
                </c:pt>
                <c:pt idx="46">
                  <c:v>0.0</c:v>
                </c:pt>
                <c:pt idx="47">
                  <c:v>-0.00162966528553443</c:v>
                </c:pt>
                <c:pt idx="48">
                  <c:v>0.000997521779176446</c:v>
                </c:pt>
                <c:pt idx="49">
                  <c:v>-0.00516357138684009</c:v>
                </c:pt>
                <c:pt idx="50">
                  <c:v>0.00631505551804801</c:v>
                </c:pt>
                <c:pt idx="51">
                  <c:v>0.0100647651012817</c:v>
                </c:pt>
                <c:pt idx="52">
                  <c:v>0.0043522660327524</c:v>
                </c:pt>
                <c:pt idx="53">
                  <c:v>0.000764754373365983</c:v>
                </c:pt>
                <c:pt idx="54">
                  <c:v>-0.00390566391902713</c:v>
                </c:pt>
                <c:pt idx="55">
                  <c:v>0.000170372614265224</c:v>
                </c:pt>
                <c:pt idx="56">
                  <c:v>-0.00247140624909758</c:v>
                </c:pt>
                <c:pt idx="57">
                  <c:v>0.00681209594165599</c:v>
                </c:pt>
                <c:pt idx="58">
                  <c:v>0.00178679456795283</c:v>
                </c:pt>
                <c:pt idx="59">
                  <c:v>0.00883297672691752</c:v>
                </c:pt>
                <c:pt idx="60">
                  <c:v>-0.010776240482015</c:v>
                </c:pt>
                <c:pt idx="61">
                  <c:v>-0.0100010306384165</c:v>
                </c:pt>
                <c:pt idx="62">
                  <c:v>0.00698222957386951</c:v>
                </c:pt>
                <c:pt idx="63">
                  <c:v>0.00770421659404197</c:v>
                </c:pt>
                <c:pt idx="64">
                  <c:v>0.00161405902119793</c:v>
                </c:pt>
                <c:pt idx="65">
                  <c:v>-0.00110262891899937</c:v>
                </c:pt>
                <c:pt idx="66">
                  <c:v>0.0142824538861142</c:v>
                </c:pt>
                <c:pt idx="67">
                  <c:v>-0.000503596273201512</c:v>
                </c:pt>
                <c:pt idx="68">
                  <c:v>-0.000755783634586837</c:v>
                </c:pt>
                <c:pt idx="69">
                  <c:v>-0.00495837311598779</c:v>
                </c:pt>
                <c:pt idx="70">
                  <c:v>0.00804883034401116</c:v>
                </c:pt>
                <c:pt idx="71">
                  <c:v>0.00789710611950056</c:v>
                </c:pt>
                <c:pt idx="72">
                  <c:v>-0.00116696737301813</c:v>
                </c:pt>
                <c:pt idx="73">
                  <c:v>0.00575823951587306</c:v>
                </c:pt>
                <c:pt idx="74">
                  <c:v>-0.00127535818101698</c:v>
                </c:pt>
                <c:pt idx="75">
                  <c:v>0.00658057971140691</c:v>
                </c:pt>
                <c:pt idx="76">
                  <c:v>0.00281374625459096</c:v>
                </c:pt>
                <c:pt idx="77">
                  <c:v>-0.00552904673130061</c:v>
                </c:pt>
                <c:pt idx="78">
                  <c:v>-0.00655539304283192</c:v>
                </c:pt>
                <c:pt idx="79">
                  <c:v>0.00978126225916376</c:v>
                </c:pt>
                <c:pt idx="80">
                  <c:v>0.00812809227350164</c:v>
                </c:pt>
                <c:pt idx="81">
                  <c:v>-0.00362002140356665</c:v>
                </c:pt>
                <c:pt idx="82">
                  <c:v>-0.00305504544016466</c:v>
                </c:pt>
                <c:pt idx="83">
                  <c:v>0.000556599189577289</c:v>
                </c:pt>
                <c:pt idx="84">
                  <c:v>0.00132793250975927</c:v>
                </c:pt>
                <c:pt idx="85">
                  <c:v>0.00464155375796782</c:v>
                </c:pt>
                <c:pt idx="86">
                  <c:v>-0.00330007326411819</c:v>
                </c:pt>
                <c:pt idx="87">
                  <c:v>0.006206992972005</c:v>
                </c:pt>
                <c:pt idx="88">
                  <c:v>-0.00181460625327512</c:v>
                </c:pt>
                <c:pt idx="89">
                  <c:v>-0.000330439929268955</c:v>
                </c:pt>
                <c:pt idx="90">
                  <c:v>0.00206639687865562</c:v>
                </c:pt>
                <c:pt idx="91">
                  <c:v>-0.00230971595692986</c:v>
                </c:pt>
                <c:pt idx="92">
                  <c:v>0.0078941565523325</c:v>
                </c:pt>
                <c:pt idx="93">
                  <c:v>-0.00427703661558609</c:v>
                </c:pt>
                <c:pt idx="94">
                  <c:v>-0.00123905717904549</c:v>
                </c:pt>
                <c:pt idx="95">
                  <c:v>0.0018195484002983</c:v>
                </c:pt>
                <c:pt idx="96">
                  <c:v>-0.00760723616664949</c:v>
                </c:pt>
                <c:pt idx="97">
                  <c:v>0.0047543664452192</c:v>
                </c:pt>
                <c:pt idx="98">
                  <c:v>0.00606013663085258</c:v>
                </c:pt>
                <c:pt idx="99">
                  <c:v>-0.00387820620067236</c:v>
                </c:pt>
                <c:pt idx="100">
                  <c:v>0.00483508707202707</c:v>
                </c:pt>
                <c:pt idx="101">
                  <c:v>0.00669530002527696</c:v>
                </c:pt>
                <c:pt idx="102">
                  <c:v>-0.00936034514651551</c:v>
                </c:pt>
                <c:pt idx="103">
                  <c:v>0.00967086083451063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BC-7F4A-A90B-3F8C22225FBC}"/>
            </c:ext>
          </c:extLst>
        </c:ser>
        <c:ser>
          <c:idx val="4"/>
          <c:order val="4"/>
          <c:tx>
            <c:v>TLT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'Unconstrained EF (Q4)'!$A$3:$A$106</c:f>
              <c:numCache>
                <c:formatCode>m/d/yy</c:formatCode>
                <c:ptCount val="104"/>
                <c:pt idx="0">
                  <c:v>42373.0</c:v>
                </c:pt>
                <c:pt idx="1">
                  <c:v>42380.0</c:v>
                </c:pt>
                <c:pt idx="2">
                  <c:v>42387.0</c:v>
                </c:pt>
                <c:pt idx="3">
                  <c:v>42394.0</c:v>
                </c:pt>
                <c:pt idx="4">
                  <c:v>42401.0</c:v>
                </c:pt>
                <c:pt idx="5">
                  <c:v>42408.0</c:v>
                </c:pt>
                <c:pt idx="6">
                  <c:v>42415.0</c:v>
                </c:pt>
                <c:pt idx="7">
                  <c:v>42422.0</c:v>
                </c:pt>
                <c:pt idx="8">
                  <c:v>42429.0</c:v>
                </c:pt>
                <c:pt idx="9">
                  <c:v>42436.0</c:v>
                </c:pt>
                <c:pt idx="10">
                  <c:v>42443.0</c:v>
                </c:pt>
                <c:pt idx="11">
                  <c:v>42450.0</c:v>
                </c:pt>
                <c:pt idx="12">
                  <c:v>42457.0</c:v>
                </c:pt>
                <c:pt idx="13">
                  <c:v>42464.0</c:v>
                </c:pt>
                <c:pt idx="14">
                  <c:v>42471.0</c:v>
                </c:pt>
                <c:pt idx="15">
                  <c:v>42478.0</c:v>
                </c:pt>
                <c:pt idx="16">
                  <c:v>42485.0</c:v>
                </c:pt>
                <c:pt idx="17">
                  <c:v>42492.0</c:v>
                </c:pt>
                <c:pt idx="18">
                  <c:v>42499.0</c:v>
                </c:pt>
                <c:pt idx="19">
                  <c:v>42506.0</c:v>
                </c:pt>
                <c:pt idx="20">
                  <c:v>42513.0</c:v>
                </c:pt>
                <c:pt idx="21">
                  <c:v>42520.0</c:v>
                </c:pt>
                <c:pt idx="22">
                  <c:v>42527.0</c:v>
                </c:pt>
                <c:pt idx="23">
                  <c:v>42534.0</c:v>
                </c:pt>
                <c:pt idx="24">
                  <c:v>42541.0</c:v>
                </c:pt>
                <c:pt idx="25">
                  <c:v>42548.0</c:v>
                </c:pt>
                <c:pt idx="26">
                  <c:v>42555.0</c:v>
                </c:pt>
                <c:pt idx="27">
                  <c:v>42562.0</c:v>
                </c:pt>
                <c:pt idx="28">
                  <c:v>42569.0</c:v>
                </c:pt>
                <c:pt idx="29">
                  <c:v>42576.0</c:v>
                </c:pt>
                <c:pt idx="30">
                  <c:v>42583.0</c:v>
                </c:pt>
                <c:pt idx="31">
                  <c:v>42590.0</c:v>
                </c:pt>
                <c:pt idx="32">
                  <c:v>42597.0</c:v>
                </c:pt>
                <c:pt idx="33">
                  <c:v>42604.0</c:v>
                </c:pt>
                <c:pt idx="34">
                  <c:v>42611.0</c:v>
                </c:pt>
                <c:pt idx="35">
                  <c:v>42618.0</c:v>
                </c:pt>
                <c:pt idx="36">
                  <c:v>42625.0</c:v>
                </c:pt>
                <c:pt idx="37">
                  <c:v>42632.0</c:v>
                </c:pt>
                <c:pt idx="38">
                  <c:v>42639.0</c:v>
                </c:pt>
                <c:pt idx="39">
                  <c:v>42646.0</c:v>
                </c:pt>
                <c:pt idx="40">
                  <c:v>42653.0</c:v>
                </c:pt>
                <c:pt idx="41">
                  <c:v>42660.0</c:v>
                </c:pt>
                <c:pt idx="42">
                  <c:v>42667.0</c:v>
                </c:pt>
                <c:pt idx="43">
                  <c:v>42674.0</c:v>
                </c:pt>
                <c:pt idx="44">
                  <c:v>42681.0</c:v>
                </c:pt>
                <c:pt idx="45">
                  <c:v>42688.0</c:v>
                </c:pt>
                <c:pt idx="46">
                  <c:v>42695.0</c:v>
                </c:pt>
                <c:pt idx="47">
                  <c:v>42702.0</c:v>
                </c:pt>
                <c:pt idx="48">
                  <c:v>42709.0</c:v>
                </c:pt>
                <c:pt idx="49">
                  <c:v>42716.0</c:v>
                </c:pt>
                <c:pt idx="50">
                  <c:v>42723.0</c:v>
                </c:pt>
                <c:pt idx="51">
                  <c:v>42730.0</c:v>
                </c:pt>
                <c:pt idx="52">
                  <c:v>42737.0</c:v>
                </c:pt>
                <c:pt idx="53">
                  <c:v>42744.0</c:v>
                </c:pt>
                <c:pt idx="54">
                  <c:v>42751.0</c:v>
                </c:pt>
                <c:pt idx="55">
                  <c:v>42758.0</c:v>
                </c:pt>
                <c:pt idx="56">
                  <c:v>42765.0</c:v>
                </c:pt>
                <c:pt idx="57">
                  <c:v>42772.0</c:v>
                </c:pt>
                <c:pt idx="58">
                  <c:v>42779.0</c:v>
                </c:pt>
                <c:pt idx="59">
                  <c:v>42786.0</c:v>
                </c:pt>
                <c:pt idx="60">
                  <c:v>42793.0</c:v>
                </c:pt>
                <c:pt idx="61">
                  <c:v>42800.0</c:v>
                </c:pt>
                <c:pt idx="62">
                  <c:v>42807.0</c:v>
                </c:pt>
                <c:pt idx="63">
                  <c:v>42814.0</c:v>
                </c:pt>
                <c:pt idx="64">
                  <c:v>42821.0</c:v>
                </c:pt>
                <c:pt idx="65">
                  <c:v>42828.0</c:v>
                </c:pt>
                <c:pt idx="66">
                  <c:v>42835.0</c:v>
                </c:pt>
                <c:pt idx="67">
                  <c:v>42842.0</c:v>
                </c:pt>
                <c:pt idx="68">
                  <c:v>42849.0</c:v>
                </c:pt>
                <c:pt idx="69">
                  <c:v>42856.0</c:v>
                </c:pt>
                <c:pt idx="70">
                  <c:v>42863.0</c:v>
                </c:pt>
                <c:pt idx="71">
                  <c:v>42870.0</c:v>
                </c:pt>
                <c:pt idx="72">
                  <c:v>42877.0</c:v>
                </c:pt>
                <c:pt idx="73">
                  <c:v>42884.0</c:v>
                </c:pt>
                <c:pt idx="74">
                  <c:v>42891.0</c:v>
                </c:pt>
                <c:pt idx="75">
                  <c:v>42898.0</c:v>
                </c:pt>
                <c:pt idx="76">
                  <c:v>42905.0</c:v>
                </c:pt>
                <c:pt idx="77">
                  <c:v>42912.0</c:v>
                </c:pt>
                <c:pt idx="78">
                  <c:v>42919.0</c:v>
                </c:pt>
                <c:pt idx="79">
                  <c:v>42926.0</c:v>
                </c:pt>
                <c:pt idx="80">
                  <c:v>42933.0</c:v>
                </c:pt>
                <c:pt idx="81">
                  <c:v>42940.0</c:v>
                </c:pt>
                <c:pt idx="82">
                  <c:v>42947.0</c:v>
                </c:pt>
                <c:pt idx="83">
                  <c:v>42954.0</c:v>
                </c:pt>
                <c:pt idx="84">
                  <c:v>42961.0</c:v>
                </c:pt>
                <c:pt idx="85">
                  <c:v>42968.0</c:v>
                </c:pt>
                <c:pt idx="86">
                  <c:v>42975.0</c:v>
                </c:pt>
                <c:pt idx="87">
                  <c:v>42982.0</c:v>
                </c:pt>
                <c:pt idx="88">
                  <c:v>42989.0</c:v>
                </c:pt>
                <c:pt idx="89">
                  <c:v>42996.0</c:v>
                </c:pt>
                <c:pt idx="90">
                  <c:v>43003.0</c:v>
                </c:pt>
                <c:pt idx="91">
                  <c:v>43010.0</c:v>
                </c:pt>
                <c:pt idx="92">
                  <c:v>43017.0</c:v>
                </c:pt>
                <c:pt idx="93">
                  <c:v>43024.0</c:v>
                </c:pt>
                <c:pt idx="94">
                  <c:v>43031.0</c:v>
                </c:pt>
                <c:pt idx="95">
                  <c:v>43038.0</c:v>
                </c:pt>
                <c:pt idx="96">
                  <c:v>43045.0</c:v>
                </c:pt>
                <c:pt idx="97">
                  <c:v>43052.0</c:v>
                </c:pt>
                <c:pt idx="98">
                  <c:v>43059.0</c:v>
                </c:pt>
                <c:pt idx="99">
                  <c:v>43066.0</c:v>
                </c:pt>
                <c:pt idx="100">
                  <c:v>43073.0</c:v>
                </c:pt>
                <c:pt idx="101">
                  <c:v>43080.0</c:v>
                </c:pt>
                <c:pt idx="102">
                  <c:v>43087.0</c:v>
                </c:pt>
                <c:pt idx="103">
                  <c:v>43094.0</c:v>
                </c:pt>
              </c:numCache>
            </c:numRef>
          </c:cat>
          <c:val>
            <c:numRef>
              <c:f>'Unconstrained EF (Q4)'!$K$3:$K$106</c:f>
              <c:numCache>
                <c:formatCode>General</c:formatCode>
                <c:ptCount val="104"/>
                <c:pt idx="0">
                  <c:v>0.0230554450373002</c:v>
                </c:pt>
                <c:pt idx="1">
                  <c:v>0.01937403884952</c:v>
                </c:pt>
                <c:pt idx="2">
                  <c:v>-0.00326041431272739</c:v>
                </c:pt>
                <c:pt idx="3">
                  <c:v>0.0156376306908008</c:v>
                </c:pt>
                <c:pt idx="4">
                  <c:v>0.0111548931225132</c:v>
                </c:pt>
                <c:pt idx="5">
                  <c:v>0.023534864598225</c:v>
                </c:pt>
                <c:pt idx="6">
                  <c:v>-0.00372614749284183</c:v>
                </c:pt>
                <c:pt idx="7">
                  <c:v>-0.00458004296144876</c:v>
                </c:pt>
                <c:pt idx="8">
                  <c:v>-0.0138792277599339</c:v>
                </c:pt>
                <c:pt idx="9">
                  <c:v>-0.00776377405193129</c:v>
                </c:pt>
                <c:pt idx="10">
                  <c:v>0.0133480453920367</c:v>
                </c:pt>
                <c:pt idx="11">
                  <c:v>0.00371920510654289</c:v>
                </c:pt>
                <c:pt idx="12">
                  <c:v>0.00880012480603342</c:v>
                </c:pt>
                <c:pt idx="13">
                  <c:v>0.0122703973541782</c:v>
                </c:pt>
                <c:pt idx="14">
                  <c:v>-0.000984449165729595</c:v>
                </c:pt>
                <c:pt idx="15">
                  <c:v>-0.0266912717582488</c:v>
                </c:pt>
                <c:pt idx="16">
                  <c:v>0.00794664596360195</c:v>
                </c:pt>
                <c:pt idx="17">
                  <c:v>0.00826986854417133</c:v>
                </c:pt>
                <c:pt idx="18">
                  <c:v>0.0160702956706011</c:v>
                </c:pt>
                <c:pt idx="19">
                  <c:v>-0.0161021728993259</c:v>
                </c:pt>
                <c:pt idx="20">
                  <c:v>-0.00230503000165894</c:v>
                </c:pt>
                <c:pt idx="21">
                  <c:v>0.0260298149049893</c:v>
                </c:pt>
                <c:pt idx="22">
                  <c:v>0.0137136069153021</c:v>
                </c:pt>
                <c:pt idx="23">
                  <c:v>0.00615808827862829</c:v>
                </c:pt>
                <c:pt idx="24">
                  <c:v>0.00125349642862571</c:v>
                </c:pt>
                <c:pt idx="25">
                  <c:v>0.0352777888513247</c:v>
                </c:pt>
                <c:pt idx="26">
                  <c:v>0.0234341080683535</c:v>
                </c:pt>
                <c:pt idx="27">
                  <c:v>-0.0362813067356696</c:v>
                </c:pt>
                <c:pt idx="28">
                  <c:v>0.00296243602537749</c:v>
                </c:pt>
                <c:pt idx="29">
                  <c:v>0.0198851043206503</c:v>
                </c:pt>
                <c:pt idx="30">
                  <c:v>-0.0251485871814091</c:v>
                </c:pt>
                <c:pt idx="31">
                  <c:v>0.016925745757314</c:v>
                </c:pt>
                <c:pt idx="32">
                  <c:v>-0.00977981160581131</c:v>
                </c:pt>
                <c:pt idx="33">
                  <c:v>-0.00252319259393385</c:v>
                </c:pt>
                <c:pt idx="34">
                  <c:v>0.00195117803740241</c:v>
                </c:pt>
                <c:pt idx="35">
                  <c:v>-0.0206553008539374</c:v>
                </c:pt>
                <c:pt idx="36">
                  <c:v>-0.00568189298037502</c:v>
                </c:pt>
                <c:pt idx="37">
                  <c:v>0.0153620655423659</c:v>
                </c:pt>
                <c:pt idx="38">
                  <c:v>0.00504268174167555</c:v>
                </c:pt>
                <c:pt idx="39">
                  <c:v>-0.0261068419852222</c:v>
                </c:pt>
                <c:pt idx="40">
                  <c:v>-0.0156305721567583</c:v>
                </c:pt>
                <c:pt idx="41">
                  <c:v>0.013071191239681</c:v>
                </c:pt>
                <c:pt idx="42">
                  <c:v>-0.0214538595109216</c:v>
                </c:pt>
                <c:pt idx="43">
                  <c:v>0.00988878784236568</c:v>
                </c:pt>
                <c:pt idx="44">
                  <c:v>-0.0718619022533348</c:v>
                </c:pt>
                <c:pt idx="45">
                  <c:v>-0.00975091642730397</c:v>
                </c:pt>
                <c:pt idx="46">
                  <c:v>-0.000248208275339112</c:v>
                </c:pt>
                <c:pt idx="47">
                  <c:v>-0.0100978526840922</c:v>
                </c:pt>
                <c:pt idx="48">
                  <c:v>-0.0155687744200129</c:v>
                </c:pt>
                <c:pt idx="49">
                  <c:v>-0.00306388976393246</c:v>
                </c:pt>
                <c:pt idx="50">
                  <c:v>0.00776849595033813</c:v>
                </c:pt>
                <c:pt idx="51">
                  <c:v>0.011790478003521</c:v>
                </c:pt>
                <c:pt idx="52">
                  <c:v>0.0145221312975643</c:v>
                </c:pt>
                <c:pt idx="53">
                  <c:v>0.003723281406663</c:v>
                </c:pt>
                <c:pt idx="54">
                  <c:v>-0.0112932429792588</c:v>
                </c:pt>
                <c:pt idx="55">
                  <c:v>-0.00258465906968819</c:v>
                </c:pt>
                <c:pt idx="56">
                  <c:v>-0.00526626179330081</c:v>
                </c:pt>
                <c:pt idx="57">
                  <c:v>0.0169832034093549</c:v>
                </c:pt>
                <c:pt idx="58">
                  <c:v>-0.00364364403388095</c:v>
                </c:pt>
                <c:pt idx="59">
                  <c:v>0.0140459248551141</c:v>
                </c:pt>
                <c:pt idx="60">
                  <c:v>-0.0218015564634568</c:v>
                </c:pt>
                <c:pt idx="61">
                  <c:v>-0.0157033950185769</c:v>
                </c:pt>
                <c:pt idx="62">
                  <c:v>0.0118550690796988</c:v>
                </c:pt>
                <c:pt idx="63">
                  <c:v>0.0188804892287897</c:v>
                </c:pt>
                <c:pt idx="64">
                  <c:v>-0.00140621827619036</c:v>
                </c:pt>
                <c:pt idx="65">
                  <c:v>0.0</c:v>
                </c:pt>
                <c:pt idx="66">
                  <c:v>0.0250301559130448</c:v>
                </c:pt>
                <c:pt idx="67">
                  <c:v>0.000566843532743055</c:v>
                </c:pt>
                <c:pt idx="68">
                  <c:v>-0.00963251736601556</c:v>
                </c:pt>
                <c:pt idx="69">
                  <c:v>-0.00866363496582401</c:v>
                </c:pt>
                <c:pt idx="70">
                  <c:v>0.00291480862563187</c:v>
                </c:pt>
                <c:pt idx="71">
                  <c:v>0.0191118257597469</c:v>
                </c:pt>
                <c:pt idx="72">
                  <c:v>-0.00185907811015828</c:v>
                </c:pt>
                <c:pt idx="73">
                  <c:v>0.0173307438360877</c:v>
                </c:pt>
                <c:pt idx="74">
                  <c:v>-0.00761386138075792</c:v>
                </c:pt>
                <c:pt idx="75">
                  <c:v>0.0156753089351067</c:v>
                </c:pt>
                <c:pt idx="76">
                  <c:v>0.0113177164966434</c:v>
                </c:pt>
                <c:pt idx="77">
                  <c:v>-0.0208169454798999</c:v>
                </c:pt>
                <c:pt idx="78">
                  <c:v>-0.0191815366478786</c:v>
                </c:pt>
                <c:pt idx="79">
                  <c:v>0.00704711876816</c:v>
                </c:pt>
                <c:pt idx="80">
                  <c:v>0.0191357696909367</c:v>
                </c:pt>
                <c:pt idx="81">
                  <c:v>-0.0143210331904622</c:v>
                </c:pt>
                <c:pt idx="82">
                  <c:v>0.00839451663792911</c:v>
                </c:pt>
                <c:pt idx="83">
                  <c:v>0.0142061485025278</c:v>
                </c:pt>
                <c:pt idx="84">
                  <c:v>0.00150292434298183</c:v>
                </c:pt>
                <c:pt idx="85">
                  <c:v>0.00552827320580729</c:v>
                </c:pt>
                <c:pt idx="86">
                  <c:v>-0.00447688955017134</c:v>
                </c:pt>
                <c:pt idx="87">
                  <c:v>0.0198472150923081</c:v>
                </c:pt>
                <c:pt idx="88">
                  <c:v>-0.0165892423435439</c:v>
                </c:pt>
                <c:pt idx="89">
                  <c:v>-0.00520258472621948</c:v>
                </c:pt>
                <c:pt idx="90">
                  <c:v>-0.0114104257955784</c:v>
                </c:pt>
                <c:pt idx="91">
                  <c:v>-0.00937805664199254</c:v>
                </c:pt>
                <c:pt idx="92">
                  <c:v>0.0203472133993725</c:v>
                </c:pt>
                <c:pt idx="93">
                  <c:v>-0.014858896586512</c:v>
                </c:pt>
                <c:pt idx="94">
                  <c:v>-0.00596877722844835</c:v>
                </c:pt>
                <c:pt idx="95">
                  <c:v>0.0194742896900282</c:v>
                </c:pt>
                <c:pt idx="96">
                  <c:v>-0.0101656476291019</c:v>
                </c:pt>
                <c:pt idx="97">
                  <c:v>0.0184528670653712</c:v>
                </c:pt>
                <c:pt idx="98">
                  <c:v>0.00324394752065094</c:v>
                </c:pt>
                <c:pt idx="99">
                  <c:v>-0.00197164339835254</c:v>
                </c:pt>
                <c:pt idx="100">
                  <c:v>0.00315079821093334</c:v>
                </c:pt>
                <c:pt idx="101">
                  <c:v>0.0131028356599685</c:v>
                </c:pt>
                <c:pt idx="102">
                  <c:v>-0.0278925078948935</c:v>
                </c:pt>
                <c:pt idx="103">
                  <c:v>0.0189012503069366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BBC-7F4A-A90B-3F8C22225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6847216"/>
        <c:axId val="-1998707392"/>
      </c:lineChart>
      <c:dateAx>
        <c:axId val="-214684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98707392"/>
        <c:crosses val="autoZero"/>
        <c:auto val="1"/>
        <c:lblOffset val="100"/>
        <c:baseTimeUnit val="days"/>
      </c:dateAx>
      <c:valAx>
        <c:axId val="-19987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84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Contrained Efficient Frontier: 5%</a:t>
            </a:r>
            <a:r>
              <a:rPr lang="en-US" baseline="0"/>
              <a:t> ≤ </a:t>
            </a:r>
            <a:r>
              <a:rPr lang="en-US" b="1" baseline="0"/>
              <a:t>w </a:t>
            </a:r>
            <a:r>
              <a:rPr lang="en-US" b="0" baseline="0"/>
              <a:t>≤ 50%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'Constrained EF (Q5)'!$T$38:$T$1000</c:f>
              <c:numCache>
                <c:formatCode>0.000000%</c:formatCode>
                <c:ptCount val="963"/>
                <c:pt idx="0">
                  <c:v>0.00943249765342266</c:v>
                </c:pt>
                <c:pt idx="1">
                  <c:v>0.00789741156342464</c:v>
                </c:pt>
                <c:pt idx="2">
                  <c:v>0.00753112910289461</c:v>
                </c:pt>
                <c:pt idx="3">
                  <c:v>0.00733973628880996</c:v>
                </c:pt>
                <c:pt idx="4">
                  <c:v>0.00732982447428854</c:v>
                </c:pt>
                <c:pt idx="5">
                  <c:v>0.00745877341458885</c:v>
                </c:pt>
                <c:pt idx="6">
                  <c:v>0.00766078413146417</c:v>
                </c:pt>
                <c:pt idx="7">
                  <c:v>0.00793616572403314</c:v>
                </c:pt>
                <c:pt idx="8">
                  <c:v>0.00827567465407748</c:v>
                </c:pt>
                <c:pt idx="9">
                  <c:v>0.00866644600828936</c:v>
                </c:pt>
                <c:pt idx="10">
                  <c:v>0.00907844192932926</c:v>
                </c:pt>
                <c:pt idx="11">
                  <c:v>0.00950610978347384</c:v>
                </c:pt>
                <c:pt idx="12">
                  <c:v>0.00994742843625843</c:v>
                </c:pt>
                <c:pt idx="13">
                  <c:v>0.0104006603492894</c:v>
                </c:pt>
                <c:pt idx="14">
                  <c:v>0.0108643146497155</c:v>
                </c:pt>
                <c:pt idx="15">
                  <c:v>0.0113371126777948</c:v>
                </c:pt>
                <c:pt idx="16">
                  <c:v>0.0118179583121213</c:v>
                </c:pt>
                <c:pt idx="17">
                  <c:v>0.0123153825796732</c:v>
                </c:pt>
                <c:pt idx="18">
                  <c:v>0.0128405403400901</c:v>
                </c:pt>
                <c:pt idx="19">
                  <c:v>0.0133902672141692</c:v>
                </c:pt>
                <c:pt idx="20">
                  <c:v>0.0139616613480677</c:v>
                </c:pt>
                <c:pt idx="21">
                  <c:v>0.0145521706566167</c:v>
                </c:pt>
                <c:pt idx="22">
                  <c:v>0.0151595615283017</c:v>
                </c:pt>
                <c:pt idx="23">
                  <c:v>0.0157914766567119</c:v>
                </c:pt>
                <c:pt idx="24">
                  <c:v>0.01646169525349</c:v>
                </c:pt>
                <c:pt idx="25">
                  <c:v>0.0171753280494928</c:v>
                </c:pt>
                <c:pt idx="26">
                  <c:v>0.0179445353825733</c:v>
                </c:pt>
                <c:pt idx="27">
                  <c:v>0.0187546546876215</c:v>
                </c:pt>
                <c:pt idx="28">
                  <c:v>0.0196006137830985</c:v>
                </c:pt>
                <c:pt idx="29">
                  <c:v>0.0222680464214219</c:v>
                </c:pt>
              </c:numCache>
            </c:numRef>
          </c:xVal>
          <c:yVal>
            <c:numRef>
              <c:f>'Constrained EF (Q5)'!$U$38:$U$1000</c:f>
              <c:numCache>
                <c:formatCode>0.000000%</c:formatCode>
                <c:ptCount val="963"/>
                <c:pt idx="0">
                  <c:v>0.00151025016910553</c:v>
                </c:pt>
                <c:pt idx="1">
                  <c:v>0.00158841440539781</c:v>
                </c:pt>
                <c:pt idx="2">
                  <c:v>0.00166757864172578</c:v>
                </c:pt>
                <c:pt idx="3">
                  <c:v>0.00174574287803591</c:v>
                </c:pt>
                <c:pt idx="4">
                  <c:v>0.001822907114356</c:v>
                </c:pt>
                <c:pt idx="5">
                  <c:v>0.00190207134915288</c:v>
                </c:pt>
                <c:pt idx="6">
                  <c:v>0.001979235586169</c:v>
                </c:pt>
                <c:pt idx="7">
                  <c:v>0.00205739982246855</c:v>
                </c:pt>
                <c:pt idx="8">
                  <c:v>0.00213556405877867</c:v>
                </c:pt>
                <c:pt idx="9">
                  <c:v>0.00221372829547076</c:v>
                </c:pt>
                <c:pt idx="10">
                  <c:v>0.00229189253207267</c:v>
                </c:pt>
                <c:pt idx="11">
                  <c:v>0.0023700567683828</c:v>
                </c:pt>
                <c:pt idx="12">
                  <c:v>0.00244822100469293</c:v>
                </c:pt>
                <c:pt idx="13">
                  <c:v>0.00252638524100305</c:v>
                </c:pt>
                <c:pt idx="14">
                  <c:v>0.00260454947709918</c:v>
                </c:pt>
                <c:pt idx="15">
                  <c:v>0.00268271371341217</c:v>
                </c:pt>
                <c:pt idx="16">
                  <c:v>0.00276087794994035</c:v>
                </c:pt>
                <c:pt idx="17">
                  <c:v>0.00283904218563006</c:v>
                </c:pt>
                <c:pt idx="18">
                  <c:v>0.00291720642187994</c:v>
                </c:pt>
                <c:pt idx="19">
                  <c:v>0.00299537065819006</c:v>
                </c:pt>
                <c:pt idx="20">
                  <c:v>0.00307353489450019</c:v>
                </c:pt>
                <c:pt idx="21">
                  <c:v>0.00315169913081031</c:v>
                </c:pt>
                <c:pt idx="22">
                  <c:v>0.00322986336712044</c:v>
                </c:pt>
                <c:pt idx="23">
                  <c:v>0.0033090276037984</c:v>
                </c:pt>
                <c:pt idx="24">
                  <c:v>0.00338719184054856</c:v>
                </c:pt>
                <c:pt idx="25">
                  <c:v>0.00346435607686865</c:v>
                </c:pt>
                <c:pt idx="26">
                  <c:v>0.00354252031317878</c:v>
                </c:pt>
                <c:pt idx="27">
                  <c:v>0.0036206845494889</c:v>
                </c:pt>
                <c:pt idx="28">
                  <c:v>0.00369884878579903</c:v>
                </c:pt>
                <c:pt idx="29">
                  <c:v>0.00377701302209919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AE1-3B48-B862-9C5FD68DB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713072"/>
        <c:axId val="2100627888"/>
      </c:scatterChart>
      <c:valAx>
        <c:axId val="-206671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627888"/>
        <c:crosses val="autoZero"/>
        <c:crossBetween val="midCat"/>
      </c:valAx>
      <c:valAx>
        <c:axId val="21006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671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Constrained</a:t>
            </a:r>
            <a:r>
              <a:rPr lang="en-US" baseline="0"/>
              <a:t> and Unconstrained 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Constrained: 5% ≤ w ≤ 50%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'Constrained EF (Q5)'!$T$38:$T$67</c:f>
              <c:numCache>
                <c:formatCode>0.000000%</c:formatCode>
                <c:ptCount val="30"/>
                <c:pt idx="0">
                  <c:v>0.00943249765342266</c:v>
                </c:pt>
                <c:pt idx="1">
                  <c:v>0.00789741156342464</c:v>
                </c:pt>
                <c:pt idx="2">
                  <c:v>0.00753112910289461</c:v>
                </c:pt>
                <c:pt idx="3">
                  <c:v>0.00733973628880996</c:v>
                </c:pt>
                <c:pt idx="4">
                  <c:v>0.00732982447428854</c:v>
                </c:pt>
                <c:pt idx="5">
                  <c:v>0.00745877341458885</c:v>
                </c:pt>
                <c:pt idx="6">
                  <c:v>0.00766078413146417</c:v>
                </c:pt>
                <c:pt idx="7">
                  <c:v>0.00793616572403314</c:v>
                </c:pt>
                <c:pt idx="8">
                  <c:v>0.00827567465407748</c:v>
                </c:pt>
                <c:pt idx="9">
                  <c:v>0.00866644600828936</c:v>
                </c:pt>
                <c:pt idx="10">
                  <c:v>0.00907844192932926</c:v>
                </c:pt>
                <c:pt idx="11">
                  <c:v>0.00950610978347384</c:v>
                </c:pt>
                <c:pt idx="12">
                  <c:v>0.00994742843625843</c:v>
                </c:pt>
                <c:pt idx="13">
                  <c:v>0.0104006603492894</c:v>
                </c:pt>
                <c:pt idx="14">
                  <c:v>0.0108643146497155</c:v>
                </c:pt>
                <c:pt idx="15">
                  <c:v>0.0113371126777948</c:v>
                </c:pt>
                <c:pt idx="16">
                  <c:v>0.0118179583121213</c:v>
                </c:pt>
                <c:pt idx="17">
                  <c:v>0.0123153825796732</c:v>
                </c:pt>
                <c:pt idx="18">
                  <c:v>0.0128405403400901</c:v>
                </c:pt>
                <c:pt idx="19">
                  <c:v>0.0133902672141692</c:v>
                </c:pt>
                <c:pt idx="20">
                  <c:v>0.0139616613480677</c:v>
                </c:pt>
                <c:pt idx="21">
                  <c:v>0.0145521706566167</c:v>
                </c:pt>
                <c:pt idx="22">
                  <c:v>0.0151595615283017</c:v>
                </c:pt>
                <c:pt idx="23">
                  <c:v>0.0157914766567119</c:v>
                </c:pt>
                <c:pt idx="24">
                  <c:v>0.01646169525349</c:v>
                </c:pt>
                <c:pt idx="25">
                  <c:v>0.0171753280494928</c:v>
                </c:pt>
                <c:pt idx="26">
                  <c:v>0.0179445353825733</c:v>
                </c:pt>
                <c:pt idx="27">
                  <c:v>0.0187546546876215</c:v>
                </c:pt>
                <c:pt idx="28">
                  <c:v>0.0196006137830985</c:v>
                </c:pt>
                <c:pt idx="29">
                  <c:v>0.0222680464214219</c:v>
                </c:pt>
              </c:numCache>
            </c:numRef>
          </c:xVal>
          <c:yVal>
            <c:numRef>
              <c:f>'Constrained EF (Q5)'!$U$38:$U$67</c:f>
              <c:numCache>
                <c:formatCode>0.000000%</c:formatCode>
                <c:ptCount val="30"/>
                <c:pt idx="0">
                  <c:v>0.00151025016910553</c:v>
                </c:pt>
                <c:pt idx="1">
                  <c:v>0.00158841440539781</c:v>
                </c:pt>
                <c:pt idx="2">
                  <c:v>0.00166757864172578</c:v>
                </c:pt>
                <c:pt idx="3">
                  <c:v>0.00174574287803591</c:v>
                </c:pt>
                <c:pt idx="4">
                  <c:v>0.001822907114356</c:v>
                </c:pt>
                <c:pt idx="5">
                  <c:v>0.00190207134915288</c:v>
                </c:pt>
                <c:pt idx="6">
                  <c:v>0.001979235586169</c:v>
                </c:pt>
                <c:pt idx="7">
                  <c:v>0.00205739982246855</c:v>
                </c:pt>
                <c:pt idx="8">
                  <c:v>0.00213556405877867</c:v>
                </c:pt>
                <c:pt idx="9">
                  <c:v>0.00221372829547076</c:v>
                </c:pt>
                <c:pt idx="10">
                  <c:v>0.00229189253207267</c:v>
                </c:pt>
                <c:pt idx="11">
                  <c:v>0.0023700567683828</c:v>
                </c:pt>
                <c:pt idx="12">
                  <c:v>0.00244822100469293</c:v>
                </c:pt>
                <c:pt idx="13">
                  <c:v>0.00252638524100305</c:v>
                </c:pt>
                <c:pt idx="14">
                  <c:v>0.00260454947709918</c:v>
                </c:pt>
                <c:pt idx="15">
                  <c:v>0.00268271371341217</c:v>
                </c:pt>
                <c:pt idx="16">
                  <c:v>0.00276087794994035</c:v>
                </c:pt>
                <c:pt idx="17">
                  <c:v>0.00283904218563006</c:v>
                </c:pt>
                <c:pt idx="18">
                  <c:v>0.00291720642187994</c:v>
                </c:pt>
                <c:pt idx="19">
                  <c:v>0.00299537065819006</c:v>
                </c:pt>
                <c:pt idx="20">
                  <c:v>0.00307353489450019</c:v>
                </c:pt>
                <c:pt idx="21">
                  <c:v>0.00315169913081031</c:v>
                </c:pt>
                <c:pt idx="22">
                  <c:v>0.00322986336712044</c:v>
                </c:pt>
                <c:pt idx="23">
                  <c:v>0.0033090276037984</c:v>
                </c:pt>
                <c:pt idx="24">
                  <c:v>0.00338719184054856</c:v>
                </c:pt>
                <c:pt idx="25">
                  <c:v>0.00346435607686865</c:v>
                </c:pt>
                <c:pt idx="26">
                  <c:v>0.00354252031317878</c:v>
                </c:pt>
                <c:pt idx="27">
                  <c:v>0.0036206845494889</c:v>
                </c:pt>
                <c:pt idx="28">
                  <c:v>0.00369884878579903</c:v>
                </c:pt>
                <c:pt idx="29">
                  <c:v>0.00377701302209919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C3-6748-916A-917423DAA947}"/>
            </c:ext>
          </c:extLst>
        </c:ser>
        <c:ser>
          <c:idx val="1"/>
          <c:order val="1"/>
          <c:tx>
            <c:v>Unconstrained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'Unconstrained EF (Q4)'!$T$38:$T$67</c:f>
              <c:numCache>
                <c:formatCode>0.00000%</c:formatCode>
                <c:ptCount val="30"/>
                <c:pt idx="0">
                  <c:v>0.00618312680941181</c:v>
                </c:pt>
                <c:pt idx="1">
                  <c:v>0.00596091911490204</c:v>
                </c:pt>
                <c:pt idx="2">
                  <c:v>0.00583151154737726</c:v>
                </c:pt>
                <c:pt idx="3">
                  <c:v>0.00580111781670981</c:v>
                </c:pt>
                <c:pt idx="4">
                  <c:v>0.0058712758242838</c:v>
                </c:pt>
                <c:pt idx="5">
                  <c:v>0.0060384818047687</c:v>
                </c:pt>
                <c:pt idx="6">
                  <c:v>0.00629500723244216</c:v>
                </c:pt>
                <c:pt idx="7">
                  <c:v>0.00663049322791586</c:v>
                </c:pt>
                <c:pt idx="8">
                  <c:v>0.00703365023830278</c:v>
                </c:pt>
                <c:pt idx="9">
                  <c:v>0.00749356402122279</c:v>
                </c:pt>
                <c:pt idx="10">
                  <c:v>0.00800045239887759</c:v>
                </c:pt>
                <c:pt idx="11">
                  <c:v>0.00854596082305184</c:v>
                </c:pt>
                <c:pt idx="12">
                  <c:v>0.00912316419731919</c:v>
                </c:pt>
                <c:pt idx="13">
                  <c:v>0.00972642145464705</c:v>
                </c:pt>
                <c:pt idx="14">
                  <c:v>0.0103511784184928</c:v>
                </c:pt>
                <c:pt idx="15">
                  <c:v>0.0109937703113096</c:v>
                </c:pt>
                <c:pt idx="16">
                  <c:v>0.0116512466151193</c:v>
                </c:pt>
                <c:pt idx="17">
                  <c:v>0.0123212247912489</c:v>
                </c:pt>
                <c:pt idx="18">
                  <c:v>0.0130017723436404</c:v>
                </c:pt>
                <c:pt idx="19">
                  <c:v>0.0136913132506912</c:v>
                </c:pt>
                <c:pt idx="20">
                  <c:v>0.0143885546119106</c:v>
                </c:pt>
                <c:pt idx="21">
                  <c:v>0.0150924292217876</c:v>
                </c:pt>
                <c:pt idx="22">
                  <c:v>0.0158020507142192</c:v>
                </c:pt>
                <c:pt idx="23">
                  <c:v>0.0165166783805347</c:v>
                </c:pt>
                <c:pt idx="24">
                  <c:v>0.0172356895241256</c:v>
                </c:pt>
                <c:pt idx="25">
                  <c:v>0.017958557649677</c:v>
                </c:pt>
                <c:pt idx="26">
                  <c:v>0.0186848351124675</c:v>
                </c:pt>
                <c:pt idx="27">
                  <c:v>0.0194141392842638</c:v>
                </c:pt>
                <c:pt idx="28">
                  <c:v>0.0201461414753</c:v>
                </c:pt>
                <c:pt idx="29">
                  <c:v>0.0208805579179781</c:v>
                </c:pt>
              </c:numCache>
            </c:numRef>
          </c:xVal>
          <c:yVal>
            <c:numRef>
              <c:f>'Unconstrained EF (Q4)'!$U$38:$U$67</c:f>
              <c:numCache>
                <c:formatCode>0.00000%</c:formatCode>
                <c:ptCount val="30"/>
                <c:pt idx="0">
                  <c:v>0.00108789901699864</c:v>
                </c:pt>
                <c:pt idx="1">
                  <c:v>0.00119479908891646</c:v>
                </c:pt>
                <c:pt idx="2">
                  <c:v>0.00130169916697542</c:v>
                </c:pt>
                <c:pt idx="3">
                  <c:v>0.00140859924533794</c:v>
                </c:pt>
                <c:pt idx="4">
                  <c:v>0.00151549932370686</c:v>
                </c:pt>
                <c:pt idx="5">
                  <c:v>0.00162239940206779</c:v>
                </c:pt>
                <c:pt idx="6">
                  <c:v>0.00172929948038369</c:v>
                </c:pt>
                <c:pt idx="7">
                  <c:v>0.00183619955870106</c:v>
                </c:pt>
                <c:pt idx="8">
                  <c:v>0.00194309963704156</c:v>
                </c:pt>
                <c:pt idx="9">
                  <c:v>0.00204999971533605</c:v>
                </c:pt>
                <c:pt idx="10">
                  <c:v>0.00215689979290283</c:v>
                </c:pt>
                <c:pt idx="11">
                  <c:v>0.0022637998719523</c:v>
                </c:pt>
                <c:pt idx="12">
                  <c:v>0.0023706999502559</c:v>
                </c:pt>
                <c:pt idx="13">
                  <c:v>0.00247760002785713</c:v>
                </c:pt>
                <c:pt idx="14">
                  <c:v>0.00258450010686306</c:v>
                </c:pt>
                <c:pt idx="15">
                  <c:v>0.00269140018448132</c:v>
                </c:pt>
                <c:pt idx="16">
                  <c:v>0.00279830026347022</c:v>
                </c:pt>
                <c:pt idx="17">
                  <c:v>0.00290520034109815</c:v>
                </c:pt>
                <c:pt idx="18">
                  <c:v>0.00301210042007738</c:v>
                </c:pt>
                <c:pt idx="19">
                  <c:v>0.00311900049838097</c:v>
                </c:pt>
                <c:pt idx="20">
                  <c:v>0.00322590057668455</c:v>
                </c:pt>
                <c:pt idx="21">
                  <c:v>0.00333280065431043</c:v>
                </c:pt>
                <c:pt idx="22">
                  <c:v>0.00343970073260859</c:v>
                </c:pt>
                <c:pt idx="23">
                  <c:v>0.00354660081159529</c:v>
                </c:pt>
                <c:pt idx="24">
                  <c:v>0.00365350088989887</c:v>
                </c:pt>
                <c:pt idx="25">
                  <c:v>0.00376040096820245</c:v>
                </c:pt>
                <c:pt idx="26">
                  <c:v>0.00386730104650604</c:v>
                </c:pt>
                <c:pt idx="27">
                  <c:v>0.00397420112408157</c:v>
                </c:pt>
                <c:pt idx="28">
                  <c:v>0.0040811012031132</c:v>
                </c:pt>
                <c:pt idx="29">
                  <c:v>0.00418800128066515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C3-6748-916A-917423DAA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468288"/>
        <c:axId val="-2020598368"/>
      </c:scatterChart>
      <c:valAx>
        <c:axId val="-20474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0598368"/>
        <c:crosses val="autoZero"/>
        <c:crossBetween val="midCat"/>
      </c:valAx>
      <c:valAx>
        <c:axId val="-20205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74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Indices</a:t>
            </a:r>
            <a:r>
              <a:rPr lang="en-US" baseline="0"/>
              <a:t> Constrained Effecient Frontier with various time spans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5 years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(5 years)'!$S$38:$S$1000</c:f>
              <c:numCache>
                <c:formatCode>0.000000%</c:formatCode>
                <c:ptCount val="963"/>
                <c:pt idx="0">
                  <c:v>0.00756816387579448</c:v>
                </c:pt>
                <c:pt idx="1">
                  <c:v>0.00752858860620095</c:v>
                </c:pt>
                <c:pt idx="2">
                  <c:v>0.00758084344416027</c:v>
                </c:pt>
                <c:pt idx="3">
                  <c:v>0.00771723737870746</c:v>
                </c:pt>
                <c:pt idx="4">
                  <c:v>0.00793297283148657</c:v>
                </c:pt>
                <c:pt idx="5">
                  <c:v>0.00822335599716386</c:v>
                </c:pt>
                <c:pt idx="6">
                  <c:v>0.00858031682669275</c:v>
                </c:pt>
                <c:pt idx="7">
                  <c:v>0.00899593335436129</c:v>
                </c:pt>
                <c:pt idx="8">
                  <c:v>0.0094624798052699</c:v>
                </c:pt>
                <c:pt idx="9">
                  <c:v>0.0099744580880479</c:v>
                </c:pt>
                <c:pt idx="10">
                  <c:v>0.0105205570005228</c:v>
                </c:pt>
                <c:pt idx="11">
                  <c:v>0.011100180538546</c:v>
                </c:pt>
                <c:pt idx="12">
                  <c:v>0.0117069476574697</c:v>
                </c:pt>
                <c:pt idx="13">
                  <c:v>0.0123368539750012</c:v>
                </c:pt>
                <c:pt idx="14">
                  <c:v>0.0129865328562175</c:v>
                </c:pt>
                <c:pt idx="15">
                  <c:v>0.0136552572439201</c:v>
                </c:pt>
                <c:pt idx="16">
                  <c:v>0.0143343767256863</c:v>
                </c:pt>
                <c:pt idx="17">
                  <c:v>0.0150281937363425</c:v>
                </c:pt>
                <c:pt idx="18">
                  <c:v>0.0158328177647927</c:v>
                </c:pt>
                <c:pt idx="19">
                  <c:v>0.0167819087367605</c:v>
                </c:pt>
                <c:pt idx="20">
                  <c:v>0.0177805411166207</c:v>
                </c:pt>
                <c:pt idx="21">
                  <c:v>0.0188127234420462</c:v>
                </c:pt>
                <c:pt idx="22">
                  <c:v>0.0198757873674599</c:v>
                </c:pt>
                <c:pt idx="23">
                  <c:v>0.0209650357239983</c:v>
                </c:pt>
                <c:pt idx="24">
                  <c:v>0.0220731080538102</c:v>
                </c:pt>
                <c:pt idx="25">
                  <c:v>0.0232072540288607</c:v>
                </c:pt>
                <c:pt idx="26">
                  <c:v>0.024354358065438</c:v>
                </c:pt>
                <c:pt idx="27">
                  <c:v>0.0255156875913926</c:v>
                </c:pt>
                <c:pt idx="28">
                  <c:v>0.0266857212105063</c:v>
                </c:pt>
                <c:pt idx="29">
                  <c:v>0.0278701940974063</c:v>
                </c:pt>
              </c:numCache>
            </c:numRef>
          </c:xVal>
          <c:yVal>
            <c:numRef>
              <c:f>'Indices (5 years)'!$T$38:$T$1000</c:f>
              <c:numCache>
                <c:formatCode>0.000000%</c:formatCode>
                <c:ptCount val="963"/>
                <c:pt idx="0">
                  <c:v>0.00231876511848937</c:v>
                </c:pt>
                <c:pt idx="1">
                  <c:v>0.00264158985952259</c:v>
                </c:pt>
                <c:pt idx="2">
                  <c:v>0.00296241459877942</c:v>
                </c:pt>
                <c:pt idx="3">
                  <c:v>0.00328523935120719</c:v>
                </c:pt>
                <c:pt idx="4">
                  <c:v>0.00360606409548673</c:v>
                </c:pt>
                <c:pt idx="5">
                  <c:v>0.00392788883974039</c:v>
                </c:pt>
                <c:pt idx="6">
                  <c:v>0.0042497135839942</c:v>
                </c:pt>
                <c:pt idx="7">
                  <c:v>0.004571538328248</c:v>
                </c:pt>
                <c:pt idx="8">
                  <c:v>0.00489336307250181</c:v>
                </c:pt>
                <c:pt idx="9">
                  <c:v>0.00521618781673001</c:v>
                </c:pt>
                <c:pt idx="10">
                  <c:v>0.00553701256100955</c:v>
                </c:pt>
                <c:pt idx="11">
                  <c:v>0.00585883730526322</c:v>
                </c:pt>
                <c:pt idx="12">
                  <c:v>0.00618066204951702</c:v>
                </c:pt>
                <c:pt idx="13">
                  <c:v>0.00650248679377083</c:v>
                </c:pt>
                <c:pt idx="14">
                  <c:v>0.00682431153802463</c:v>
                </c:pt>
                <c:pt idx="15">
                  <c:v>0.00714713628225284</c:v>
                </c:pt>
                <c:pt idx="16">
                  <c:v>0.00746796102653238</c:v>
                </c:pt>
                <c:pt idx="17">
                  <c:v>0.00778978577078604</c:v>
                </c:pt>
                <c:pt idx="18">
                  <c:v>0.00811261051505785</c:v>
                </c:pt>
                <c:pt idx="19">
                  <c:v>0.00843343525929417</c:v>
                </c:pt>
                <c:pt idx="20">
                  <c:v>0.00875626000356545</c:v>
                </c:pt>
                <c:pt idx="21">
                  <c:v>0.00907808474781926</c:v>
                </c:pt>
                <c:pt idx="22">
                  <c:v>0.00939990949207306</c:v>
                </c:pt>
                <c:pt idx="23">
                  <c:v>0.00972173423632687</c:v>
                </c:pt>
                <c:pt idx="24">
                  <c:v>0.0100425589805632</c:v>
                </c:pt>
                <c:pt idx="25">
                  <c:v>0.0103653837248345</c:v>
                </c:pt>
                <c:pt idx="26">
                  <c:v>0.0106872084690883</c:v>
                </c:pt>
                <c:pt idx="27">
                  <c:v>0.0110090332133421</c:v>
                </c:pt>
                <c:pt idx="28">
                  <c:v>0.0113298579575784</c:v>
                </c:pt>
                <c:pt idx="29">
                  <c:v>0.0116516827018497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DB0-0C48-8BC8-374AA09BFD30}"/>
            </c:ext>
          </c:extLst>
        </c:ser>
        <c:ser>
          <c:idx val="1"/>
          <c:order val="1"/>
          <c:tx>
            <c:v>10 years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'Indices (10 years)'!$S$38:$S$1000</c:f>
              <c:numCache>
                <c:formatCode>0.000000%</c:formatCode>
                <c:ptCount val="963"/>
                <c:pt idx="0">
                  <c:v>0.00953589787991283</c:v>
                </c:pt>
                <c:pt idx="1">
                  <c:v>0.00963632612813472</c:v>
                </c:pt>
                <c:pt idx="2">
                  <c:v>0.0100326210133429</c:v>
                </c:pt>
                <c:pt idx="3">
                  <c:v>0.0105919922221963</c:v>
                </c:pt>
                <c:pt idx="4">
                  <c:v>0.0112902269889201</c:v>
                </c:pt>
                <c:pt idx="5">
                  <c:v>0.0121088691666914</c:v>
                </c:pt>
                <c:pt idx="6">
                  <c:v>0.0130097429674687</c:v>
                </c:pt>
                <c:pt idx="7">
                  <c:v>0.0139913785050506</c:v>
                </c:pt>
                <c:pt idx="8">
                  <c:v>0.0150334974058653</c:v>
                </c:pt>
                <c:pt idx="9">
                  <c:v>0.0161243768072225</c:v>
                </c:pt>
                <c:pt idx="10">
                  <c:v>0.0172547709917868</c:v>
                </c:pt>
                <c:pt idx="11">
                  <c:v>0.0184174055698758</c:v>
                </c:pt>
                <c:pt idx="12">
                  <c:v>0.0196065459798544</c:v>
                </c:pt>
                <c:pt idx="13">
                  <c:v>0.0208218867568997</c:v>
                </c:pt>
                <c:pt idx="14">
                  <c:v>0.022072477151792</c:v>
                </c:pt>
                <c:pt idx="15">
                  <c:v>0.0233381169596265</c:v>
                </c:pt>
                <c:pt idx="16">
                  <c:v>0.0246164850214458</c:v>
                </c:pt>
                <c:pt idx="17">
                  <c:v>0.0260058704667807</c:v>
                </c:pt>
                <c:pt idx="18">
                  <c:v>0.0274221198385752</c:v>
                </c:pt>
                <c:pt idx="19">
                  <c:v>0.0288605802538376</c:v>
                </c:pt>
                <c:pt idx="20">
                  <c:v>0.0303180904275986</c:v>
                </c:pt>
                <c:pt idx="21">
                  <c:v>0.0317920304511165</c:v>
                </c:pt>
                <c:pt idx="22">
                  <c:v>0.0332898310028106</c:v>
                </c:pt>
                <c:pt idx="23">
                  <c:v>0.034780822612246</c:v>
                </c:pt>
                <c:pt idx="24">
                  <c:v>0.0363020593577082</c:v>
                </c:pt>
                <c:pt idx="25">
                  <c:v>0.0378133621452471</c:v>
                </c:pt>
                <c:pt idx="26">
                  <c:v>0.0393428817190656</c:v>
                </c:pt>
                <c:pt idx="27">
                  <c:v>0.0408799144523809</c:v>
                </c:pt>
                <c:pt idx="28">
                  <c:v>0.0424236437349316</c:v>
                </c:pt>
                <c:pt idx="29">
                  <c:v>0.0447562468363971</c:v>
                </c:pt>
              </c:numCache>
            </c:numRef>
          </c:xVal>
          <c:yVal>
            <c:numRef>
              <c:f>'Indices (10 years)'!$T$38:$T$1000</c:f>
              <c:numCache>
                <c:formatCode>0.000000%</c:formatCode>
                <c:ptCount val="963"/>
                <c:pt idx="0">
                  <c:v>0.0034555158763012</c:v>
                </c:pt>
                <c:pt idx="1">
                  <c:v>0.00361099538161414</c:v>
                </c:pt>
                <c:pt idx="2">
                  <c:v>0.0037664748712432</c:v>
                </c:pt>
                <c:pt idx="3">
                  <c:v>0.00392195436873405</c:v>
                </c:pt>
                <c:pt idx="4">
                  <c:v>0.0040774338662249</c:v>
                </c:pt>
                <c:pt idx="5">
                  <c:v>0.00423391336375544</c:v>
                </c:pt>
                <c:pt idx="6">
                  <c:v>0.00438839286120659</c:v>
                </c:pt>
                <c:pt idx="7">
                  <c:v>0.00454387235869744</c:v>
                </c:pt>
                <c:pt idx="8">
                  <c:v>0.00469935185618829</c:v>
                </c:pt>
                <c:pt idx="9">
                  <c:v>0.00485483135367914</c:v>
                </c:pt>
                <c:pt idx="10">
                  <c:v>0.00501031085116999</c:v>
                </c:pt>
                <c:pt idx="11">
                  <c:v>0.00516579034866084</c:v>
                </c:pt>
                <c:pt idx="12">
                  <c:v>0.00532126984615168</c:v>
                </c:pt>
                <c:pt idx="13">
                  <c:v>0.00547674934400577</c:v>
                </c:pt>
                <c:pt idx="14">
                  <c:v>0.00563222884113424</c:v>
                </c:pt>
                <c:pt idx="15">
                  <c:v>0.00578770833862509</c:v>
                </c:pt>
                <c:pt idx="16">
                  <c:v>0.00594318783611594</c:v>
                </c:pt>
                <c:pt idx="17">
                  <c:v>0.00609866733369098</c:v>
                </c:pt>
                <c:pt idx="18">
                  <c:v>0.00625414683118183</c:v>
                </c:pt>
                <c:pt idx="19">
                  <c:v>0.00640962632867267</c:v>
                </c:pt>
                <c:pt idx="20">
                  <c:v>0.00656510582616352</c:v>
                </c:pt>
                <c:pt idx="21">
                  <c:v>0.00672058532365437</c:v>
                </c:pt>
                <c:pt idx="22">
                  <c:v>0.00687706482109987</c:v>
                </c:pt>
                <c:pt idx="23">
                  <c:v>0.00703154431863607</c:v>
                </c:pt>
                <c:pt idx="24">
                  <c:v>0.00718802381608157</c:v>
                </c:pt>
                <c:pt idx="25">
                  <c:v>0.00734250331361776</c:v>
                </c:pt>
                <c:pt idx="26">
                  <c:v>0.00749798281110861</c:v>
                </c:pt>
                <c:pt idx="27">
                  <c:v>0.00765346230859946</c:v>
                </c:pt>
                <c:pt idx="28">
                  <c:v>0.00780894180609031</c:v>
                </c:pt>
                <c:pt idx="29">
                  <c:v>0.00796442130353581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DB0-0C48-8BC8-374AA09BFD30}"/>
            </c:ext>
          </c:extLst>
        </c:ser>
        <c:ser>
          <c:idx val="3"/>
          <c:order val="2"/>
          <c:tx>
            <c:v>20 years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'Indices (20 years)'!$S$38:$S$1000</c:f>
              <c:numCache>
                <c:formatCode>0.000000%</c:formatCode>
                <c:ptCount val="963"/>
                <c:pt idx="0">
                  <c:v>0.00984128975595903</c:v>
                </c:pt>
                <c:pt idx="1">
                  <c:v>0.00978050658652288</c:v>
                </c:pt>
                <c:pt idx="2">
                  <c:v>0.0100938006427978</c:v>
                </c:pt>
                <c:pt idx="3">
                  <c:v>0.0106093164084968</c:v>
                </c:pt>
                <c:pt idx="4">
                  <c:v>0.0112887282916818</c:v>
                </c:pt>
                <c:pt idx="5">
                  <c:v>0.01210446970374</c:v>
                </c:pt>
                <c:pt idx="6">
                  <c:v>0.0130405077309811</c:v>
                </c:pt>
                <c:pt idx="7">
                  <c:v>0.0140463095962087</c:v>
                </c:pt>
                <c:pt idx="8">
                  <c:v>0.0151326349116718</c:v>
                </c:pt>
                <c:pt idx="9">
                  <c:v>0.0162757326730748</c:v>
                </c:pt>
                <c:pt idx="10">
                  <c:v>0.0174762948059329</c:v>
                </c:pt>
                <c:pt idx="11">
                  <c:v>0.0186901088581549</c:v>
                </c:pt>
                <c:pt idx="12">
                  <c:v>0.0199458775073169</c:v>
                </c:pt>
                <c:pt idx="13">
                  <c:v>0.0212264198234757</c:v>
                </c:pt>
                <c:pt idx="14">
                  <c:v>0.0225471367570448</c:v>
                </c:pt>
                <c:pt idx="15">
                  <c:v>0.0238909872982963</c:v>
                </c:pt>
                <c:pt idx="16">
                  <c:v>0.0252484084787864</c:v>
                </c:pt>
                <c:pt idx="17">
                  <c:v>0.0266173240049779</c:v>
                </c:pt>
                <c:pt idx="18">
                  <c:v>0.0279960478194749</c:v>
                </c:pt>
                <c:pt idx="19">
                  <c:v>0.0293831992758568</c:v>
                </c:pt>
                <c:pt idx="20">
                  <c:v>0.0307913272422303</c:v>
                </c:pt>
                <c:pt idx="21">
                  <c:v>0.0321784191904269</c:v>
                </c:pt>
                <c:pt idx="22">
                  <c:v>0.0335847467953542</c:v>
                </c:pt>
                <c:pt idx="23">
                  <c:v>0.0350097949031379</c:v>
                </c:pt>
                <c:pt idx="24">
                  <c:v>0.0364114704223819</c:v>
                </c:pt>
                <c:pt idx="25">
                  <c:v>0.0378308152645659</c:v>
                </c:pt>
                <c:pt idx="26">
                  <c:v>0.0392535723050307</c:v>
                </c:pt>
                <c:pt idx="27">
                  <c:v>0.040679383521397</c:v>
                </c:pt>
                <c:pt idx="28">
                  <c:v>0.042107938663696</c:v>
                </c:pt>
                <c:pt idx="29">
                  <c:v>0.0435394350267477</c:v>
                </c:pt>
              </c:numCache>
            </c:numRef>
          </c:xVal>
          <c:yVal>
            <c:numRef>
              <c:f>'Indices (20 years)'!$T$38:$T$1000</c:f>
              <c:numCache>
                <c:formatCode>0.000000%</c:formatCode>
                <c:ptCount val="963"/>
                <c:pt idx="0">
                  <c:v>0.00425087385719412</c:v>
                </c:pt>
                <c:pt idx="1">
                  <c:v>0.00435298877967381</c:v>
                </c:pt>
                <c:pt idx="2">
                  <c:v>0.00445510369460158</c:v>
                </c:pt>
                <c:pt idx="3">
                  <c:v>0.00455721861390421</c:v>
                </c:pt>
                <c:pt idx="4">
                  <c:v>0.00465933353286415</c:v>
                </c:pt>
                <c:pt idx="5">
                  <c:v>0.00476144845182408</c:v>
                </c:pt>
                <c:pt idx="6">
                  <c:v>0.00486456337076797</c:v>
                </c:pt>
                <c:pt idx="7">
                  <c:v>0.00496567828974574</c:v>
                </c:pt>
                <c:pt idx="8">
                  <c:v>0.00506779320870388</c:v>
                </c:pt>
                <c:pt idx="9">
                  <c:v>0.00516990812766381</c:v>
                </c:pt>
                <c:pt idx="10">
                  <c:v>0.0052730230466077</c:v>
                </c:pt>
                <c:pt idx="11">
                  <c:v>0.00537413796558547</c:v>
                </c:pt>
                <c:pt idx="12">
                  <c:v>0.00547625288454361</c:v>
                </c:pt>
                <c:pt idx="13">
                  <c:v>0.00557836780350354</c:v>
                </c:pt>
                <c:pt idx="14">
                  <c:v>0.00568048273595916</c:v>
                </c:pt>
                <c:pt idx="15">
                  <c:v>0.00578259764029806</c:v>
                </c:pt>
                <c:pt idx="16">
                  <c:v>0.005884712559258</c:v>
                </c:pt>
                <c:pt idx="17">
                  <c:v>0.00598682747821793</c:v>
                </c:pt>
                <c:pt idx="18">
                  <c:v>0.00608894239717786</c:v>
                </c:pt>
                <c:pt idx="19">
                  <c:v>0.00619105731613779</c:v>
                </c:pt>
                <c:pt idx="20">
                  <c:v>0.006294172235081</c:v>
                </c:pt>
                <c:pt idx="21">
                  <c:v>0.00639528715407038</c:v>
                </c:pt>
                <c:pt idx="22">
                  <c:v>0.00649740207301759</c:v>
                </c:pt>
                <c:pt idx="23">
                  <c:v>0.00660051699196079</c:v>
                </c:pt>
                <c:pt idx="24">
                  <c:v>0.00670163191095014</c:v>
                </c:pt>
                <c:pt idx="25">
                  <c:v>0.00680374682989742</c:v>
                </c:pt>
                <c:pt idx="26">
                  <c:v>0.00690586174885732</c:v>
                </c:pt>
                <c:pt idx="27">
                  <c:v>0.00700797666781724</c:v>
                </c:pt>
                <c:pt idx="28">
                  <c:v>0.00711009158677719</c:v>
                </c:pt>
                <c:pt idx="29">
                  <c:v>0.00721220650703215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DB0-0C48-8BC8-374AA09BFD30}"/>
            </c:ext>
          </c:extLst>
        </c:ser>
        <c:ser>
          <c:idx val="2"/>
          <c:order val="3"/>
          <c:tx>
            <c:v>30 years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'Indices (30 years)'!$S$38:$S$1000</c:f>
              <c:numCache>
                <c:formatCode>0.000000%</c:formatCode>
                <c:ptCount val="963"/>
                <c:pt idx="0">
                  <c:v>0.0111398240739589</c:v>
                </c:pt>
                <c:pt idx="1">
                  <c:v>0.0111945308611215</c:v>
                </c:pt>
                <c:pt idx="2">
                  <c:v>0.0115113330501582</c:v>
                </c:pt>
                <c:pt idx="3">
                  <c:v>0.0119453874897922</c:v>
                </c:pt>
                <c:pt idx="4">
                  <c:v>0.0124782194924816</c:v>
                </c:pt>
                <c:pt idx="5">
                  <c:v>0.0131037348654279</c:v>
                </c:pt>
                <c:pt idx="6">
                  <c:v>0.0138074612409025</c:v>
                </c:pt>
                <c:pt idx="7">
                  <c:v>0.0145780765943403</c:v>
                </c:pt>
                <c:pt idx="8">
                  <c:v>0.0154098446540208</c:v>
                </c:pt>
                <c:pt idx="9">
                  <c:v>0.0162812044412651</c:v>
                </c:pt>
                <c:pt idx="10">
                  <c:v>0.0171976913467986</c:v>
                </c:pt>
                <c:pt idx="11">
                  <c:v>0.0181540168401688</c:v>
                </c:pt>
                <c:pt idx="12">
                  <c:v>0.0191294407988348</c:v>
                </c:pt>
                <c:pt idx="13">
                  <c:v>0.0201390178826971</c:v>
                </c:pt>
                <c:pt idx="14">
                  <c:v>0.021178390377806</c:v>
                </c:pt>
                <c:pt idx="15">
                  <c:v>0.0222346804924409</c:v>
                </c:pt>
                <c:pt idx="16">
                  <c:v>0.023305588043788</c:v>
                </c:pt>
                <c:pt idx="17">
                  <c:v>0.0244033819175259</c:v>
                </c:pt>
                <c:pt idx="18">
                  <c:v>0.0255412994827032</c:v>
                </c:pt>
                <c:pt idx="19">
                  <c:v>0.0267235757531151</c:v>
                </c:pt>
                <c:pt idx="20">
                  <c:v>0.0279273528132648</c:v>
                </c:pt>
                <c:pt idx="21">
                  <c:v>0.0291579211597486</c:v>
                </c:pt>
                <c:pt idx="22">
                  <c:v>0.0304120287819987</c:v>
                </c:pt>
                <c:pt idx="23">
                  <c:v>0.0316868808814243</c:v>
                </c:pt>
                <c:pt idx="24">
                  <c:v>0.0329698544037841</c:v>
                </c:pt>
                <c:pt idx="25">
                  <c:v>0.0342895270008037</c:v>
                </c:pt>
                <c:pt idx="26">
                  <c:v>0.0356134522130005</c:v>
                </c:pt>
                <c:pt idx="27">
                  <c:v>0.0369397512176676</c:v>
                </c:pt>
                <c:pt idx="28">
                  <c:v>0.0382986945330736</c:v>
                </c:pt>
                <c:pt idx="29">
                  <c:v>0.040592414819907</c:v>
                </c:pt>
              </c:numCache>
            </c:numRef>
          </c:xVal>
          <c:yVal>
            <c:numRef>
              <c:f>'Indices (30 years)'!$T$38:$T$1000</c:f>
              <c:numCache>
                <c:formatCode>0.000000%</c:formatCode>
                <c:ptCount val="963"/>
                <c:pt idx="0">
                  <c:v>0.00539770595147219</c:v>
                </c:pt>
                <c:pt idx="1">
                  <c:v>0.00552509335934602</c:v>
                </c:pt>
                <c:pt idx="2">
                  <c:v>0.00565248076495801</c:v>
                </c:pt>
                <c:pt idx="3">
                  <c:v>0.00578043916095934</c:v>
                </c:pt>
                <c:pt idx="4">
                  <c:v>0.00590725557622505</c:v>
                </c:pt>
                <c:pt idx="5">
                  <c:v>0.00603464298187338</c:v>
                </c:pt>
                <c:pt idx="6">
                  <c:v>0.00616203038751184</c:v>
                </c:pt>
                <c:pt idx="7">
                  <c:v>0.0062894177931503</c:v>
                </c:pt>
                <c:pt idx="8">
                  <c:v>0.00641744708273609</c:v>
                </c:pt>
                <c:pt idx="9">
                  <c:v>0.0065441926044161</c:v>
                </c:pt>
                <c:pt idx="10">
                  <c:v>0.00667158001006566</c:v>
                </c:pt>
                <c:pt idx="11">
                  <c:v>0.0067996518356217</c:v>
                </c:pt>
                <c:pt idx="12">
                  <c:v>0.00692635482124283</c:v>
                </c:pt>
                <c:pt idx="13">
                  <c:v>0.00705374222485796</c:v>
                </c:pt>
                <c:pt idx="14">
                  <c:v>0.00718112963040004</c:v>
                </c:pt>
                <c:pt idx="15">
                  <c:v>0.0073085170360385</c:v>
                </c:pt>
                <c:pt idx="16">
                  <c:v>0.00743590444167696</c:v>
                </c:pt>
                <c:pt idx="17">
                  <c:v>0.00756329184734799</c:v>
                </c:pt>
                <c:pt idx="18">
                  <c:v>0.00769067925298645</c:v>
                </c:pt>
                <c:pt idx="19">
                  <c:v>0.00781906665860285</c:v>
                </c:pt>
                <c:pt idx="20">
                  <c:v>0.00794645406424131</c:v>
                </c:pt>
                <c:pt idx="21">
                  <c:v>0.00807384146987977</c:v>
                </c:pt>
                <c:pt idx="22">
                  <c:v>0.00820122887551822</c:v>
                </c:pt>
                <c:pt idx="23">
                  <c:v>0.00832861628115668</c:v>
                </c:pt>
                <c:pt idx="24">
                  <c:v>0.00845500368681718</c:v>
                </c:pt>
                <c:pt idx="25">
                  <c:v>0.00858339109243359</c:v>
                </c:pt>
                <c:pt idx="26">
                  <c:v>0.00871077849807205</c:v>
                </c:pt>
                <c:pt idx="27">
                  <c:v>0.00883716590373255</c:v>
                </c:pt>
                <c:pt idx="28">
                  <c:v>0.00896555330934896</c:v>
                </c:pt>
                <c:pt idx="29">
                  <c:v>0.00909194071498741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DB0-0C48-8BC8-374AA09BF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315504"/>
        <c:axId val="-2056454688"/>
      </c:scatterChart>
      <c:valAx>
        <c:axId val="-205031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6454688"/>
        <c:crosses val="autoZero"/>
        <c:crossBetween val="midCat"/>
      </c:valAx>
      <c:valAx>
        <c:axId val="-205645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031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5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(5 years)'!$S$38:$S$1000</c:f>
              <c:numCache>
                <c:formatCode>0.000000%</c:formatCode>
                <c:ptCount val="963"/>
                <c:pt idx="0">
                  <c:v>0.00756816387579448</c:v>
                </c:pt>
                <c:pt idx="1">
                  <c:v>0.00752858860620095</c:v>
                </c:pt>
                <c:pt idx="2">
                  <c:v>0.00758084344416027</c:v>
                </c:pt>
                <c:pt idx="3">
                  <c:v>0.00771723737870746</c:v>
                </c:pt>
                <c:pt idx="4">
                  <c:v>0.00793297283148657</c:v>
                </c:pt>
                <c:pt idx="5">
                  <c:v>0.00822335599716386</c:v>
                </c:pt>
                <c:pt idx="6">
                  <c:v>0.00858031682669275</c:v>
                </c:pt>
                <c:pt idx="7">
                  <c:v>0.00899593335436129</c:v>
                </c:pt>
                <c:pt idx="8">
                  <c:v>0.0094624798052699</c:v>
                </c:pt>
                <c:pt idx="9">
                  <c:v>0.0099744580880479</c:v>
                </c:pt>
                <c:pt idx="10">
                  <c:v>0.0105205570005228</c:v>
                </c:pt>
                <c:pt idx="11">
                  <c:v>0.011100180538546</c:v>
                </c:pt>
                <c:pt idx="12">
                  <c:v>0.0117069476574697</c:v>
                </c:pt>
                <c:pt idx="13">
                  <c:v>0.0123368539750012</c:v>
                </c:pt>
                <c:pt idx="14">
                  <c:v>0.0129865328562175</c:v>
                </c:pt>
                <c:pt idx="15">
                  <c:v>0.0136552572439201</c:v>
                </c:pt>
                <c:pt idx="16">
                  <c:v>0.0143343767256863</c:v>
                </c:pt>
                <c:pt idx="17">
                  <c:v>0.0150281937363425</c:v>
                </c:pt>
                <c:pt idx="18">
                  <c:v>0.0158328177647927</c:v>
                </c:pt>
                <c:pt idx="19">
                  <c:v>0.0167819087367605</c:v>
                </c:pt>
                <c:pt idx="20">
                  <c:v>0.0177805411166207</c:v>
                </c:pt>
                <c:pt idx="21">
                  <c:v>0.0188127234420462</c:v>
                </c:pt>
                <c:pt idx="22">
                  <c:v>0.0198757873674599</c:v>
                </c:pt>
                <c:pt idx="23">
                  <c:v>0.0209650357239983</c:v>
                </c:pt>
                <c:pt idx="24">
                  <c:v>0.0220731080538102</c:v>
                </c:pt>
                <c:pt idx="25">
                  <c:v>0.0232072540288607</c:v>
                </c:pt>
                <c:pt idx="26">
                  <c:v>0.024354358065438</c:v>
                </c:pt>
                <c:pt idx="27">
                  <c:v>0.0255156875913926</c:v>
                </c:pt>
                <c:pt idx="28">
                  <c:v>0.0266857212105063</c:v>
                </c:pt>
                <c:pt idx="29">
                  <c:v>0.0278701940974063</c:v>
                </c:pt>
              </c:numCache>
            </c:numRef>
          </c:xVal>
          <c:yVal>
            <c:numRef>
              <c:f>'Indices (5 years)'!$T$38:$T$1000</c:f>
              <c:numCache>
                <c:formatCode>0.000000%</c:formatCode>
                <c:ptCount val="963"/>
                <c:pt idx="0">
                  <c:v>0.00231876511848937</c:v>
                </c:pt>
                <c:pt idx="1">
                  <c:v>0.00264158985952259</c:v>
                </c:pt>
                <c:pt idx="2">
                  <c:v>0.00296241459877942</c:v>
                </c:pt>
                <c:pt idx="3">
                  <c:v>0.00328523935120719</c:v>
                </c:pt>
                <c:pt idx="4">
                  <c:v>0.00360606409548673</c:v>
                </c:pt>
                <c:pt idx="5">
                  <c:v>0.00392788883974039</c:v>
                </c:pt>
                <c:pt idx="6">
                  <c:v>0.0042497135839942</c:v>
                </c:pt>
                <c:pt idx="7">
                  <c:v>0.004571538328248</c:v>
                </c:pt>
                <c:pt idx="8">
                  <c:v>0.00489336307250181</c:v>
                </c:pt>
                <c:pt idx="9">
                  <c:v>0.00521618781673001</c:v>
                </c:pt>
                <c:pt idx="10">
                  <c:v>0.00553701256100955</c:v>
                </c:pt>
                <c:pt idx="11">
                  <c:v>0.00585883730526322</c:v>
                </c:pt>
                <c:pt idx="12">
                  <c:v>0.00618066204951702</c:v>
                </c:pt>
                <c:pt idx="13">
                  <c:v>0.00650248679377083</c:v>
                </c:pt>
                <c:pt idx="14">
                  <c:v>0.00682431153802463</c:v>
                </c:pt>
                <c:pt idx="15">
                  <c:v>0.00714713628225284</c:v>
                </c:pt>
                <c:pt idx="16">
                  <c:v>0.00746796102653238</c:v>
                </c:pt>
                <c:pt idx="17">
                  <c:v>0.00778978577078604</c:v>
                </c:pt>
                <c:pt idx="18">
                  <c:v>0.00811261051505785</c:v>
                </c:pt>
                <c:pt idx="19">
                  <c:v>0.00843343525929417</c:v>
                </c:pt>
                <c:pt idx="20">
                  <c:v>0.00875626000356545</c:v>
                </c:pt>
                <c:pt idx="21">
                  <c:v>0.00907808474781926</c:v>
                </c:pt>
                <c:pt idx="22">
                  <c:v>0.00939990949207306</c:v>
                </c:pt>
                <c:pt idx="23">
                  <c:v>0.00972173423632687</c:v>
                </c:pt>
                <c:pt idx="24">
                  <c:v>0.0100425589805632</c:v>
                </c:pt>
                <c:pt idx="25">
                  <c:v>0.0103653837248345</c:v>
                </c:pt>
                <c:pt idx="26">
                  <c:v>0.0106872084690883</c:v>
                </c:pt>
                <c:pt idx="27">
                  <c:v>0.0110090332133421</c:v>
                </c:pt>
                <c:pt idx="28">
                  <c:v>0.0113298579575784</c:v>
                </c:pt>
                <c:pt idx="29">
                  <c:v>0.0116516827018497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E8A-2C40-A31E-EF783A9D2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849152"/>
        <c:axId val="-2046988320"/>
      </c:scatterChart>
      <c:valAx>
        <c:axId val="-2048849152"/>
        <c:scaling>
          <c:orientation val="minMax"/>
          <c:min val="0.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Risk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6988320"/>
        <c:crosses val="autoZero"/>
        <c:crossBetween val="midCat"/>
      </c:valAx>
      <c:valAx>
        <c:axId val="-20469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5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(10 years)'!$S$38:$S$1000</c:f>
              <c:numCache>
                <c:formatCode>0.000000%</c:formatCode>
                <c:ptCount val="963"/>
                <c:pt idx="0">
                  <c:v>0.00953589787991283</c:v>
                </c:pt>
                <c:pt idx="1">
                  <c:v>0.00963632612813472</c:v>
                </c:pt>
                <c:pt idx="2">
                  <c:v>0.0100326210133429</c:v>
                </c:pt>
                <c:pt idx="3">
                  <c:v>0.0105919922221963</c:v>
                </c:pt>
                <c:pt idx="4">
                  <c:v>0.0112902269889201</c:v>
                </c:pt>
                <c:pt idx="5">
                  <c:v>0.0121088691666914</c:v>
                </c:pt>
                <c:pt idx="6">
                  <c:v>0.0130097429674687</c:v>
                </c:pt>
                <c:pt idx="7">
                  <c:v>0.0139913785050506</c:v>
                </c:pt>
                <c:pt idx="8">
                  <c:v>0.0150334974058653</c:v>
                </c:pt>
                <c:pt idx="9">
                  <c:v>0.0161243768072225</c:v>
                </c:pt>
                <c:pt idx="10">
                  <c:v>0.0172547709917868</c:v>
                </c:pt>
                <c:pt idx="11">
                  <c:v>0.0184174055698758</c:v>
                </c:pt>
                <c:pt idx="12">
                  <c:v>0.0196065459798544</c:v>
                </c:pt>
                <c:pt idx="13">
                  <c:v>0.0208218867568997</c:v>
                </c:pt>
                <c:pt idx="14">
                  <c:v>0.022072477151792</c:v>
                </c:pt>
                <c:pt idx="15">
                  <c:v>0.0233381169596265</c:v>
                </c:pt>
                <c:pt idx="16">
                  <c:v>0.0246164850214458</c:v>
                </c:pt>
                <c:pt idx="17">
                  <c:v>0.0260058704667807</c:v>
                </c:pt>
                <c:pt idx="18">
                  <c:v>0.0274221198385752</c:v>
                </c:pt>
                <c:pt idx="19">
                  <c:v>0.0288605802538376</c:v>
                </c:pt>
                <c:pt idx="20">
                  <c:v>0.0303180904275986</c:v>
                </c:pt>
                <c:pt idx="21">
                  <c:v>0.0317920304511165</c:v>
                </c:pt>
                <c:pt idx="22">
                  <c:v>0.0332898310028106</c:v>
                </c:pt>
                <c:pt idx="23">
                  <c:v>0.034780822612246</c:v>
                </c:pt>
                <c:pt idx="24">
                  <c:v>0.0363020593577082</c:v>
                </c:pt>
                <c:pt idx="25">
                  <c:v>0.0378133621452471</c:v>
                </c:pt>
                <c:pt idx="26">
                  <c:v>0.0393428817190656</c:v>
                </c:pt>
                <c:pt idx="27">
                  <c:v>0.0408799144523809</c:v>
                </c:pt>
                <c:pt idx="28">
                  <c:v>0.0424236437349316</c:v>
                </c:pt>
                <c:pt idx="29">
                  <c:v>0.0447562468363971</c:v>
                </c:pt>
              </c:numCache>
            </c:numRef>
          </c:xVal>
          <c:yVal>
            <c:numRef>
              <c:f>'Indices (10 years)'!$T$38:$T$1000</c:f>
              <c:numCache>
                <c:formatCode>0.000000%</c:formatCode>
                <c:ptCount val="963"/>
                <c:pt idx="0">
                  <c:v>0.0034555158763012</c:v>
                </c:pt>
                <c:pt idx="1">
                  <c:v>0.00361099538161414</c:v>
                </c:pt>
                <c:pt idx="2">
                  <c:v>0.0037664748712432</c:v>
                </c:pt>
                <c:pt idx="3">
                  <c:v>0.00392195436873405</c:v>
                </c:pt>
                <c:pt idx="4">
                  <c:v>0.0040774338662249</c:v>
                </c:pt>
                <c:pt idx="5">
                  <c:v>0.00423391336375544</c:v>
                </c:pt>
                <c:pt idx="6">
                  <c:v>0.00438839286120659</c:v>
                </c:pt>
                <c:pt idx="7">
                  <c:v>0.00454387235869744</c:v>
                </c:pt>
                <c:pt idx="8">
                  <c:v>0.00469935185618829</c:v>
                </c:pt>
                <c:pt idx="9">
                  <c:v>0.00485483135367914</c:v>
                </c:pt>
                <c:pt idx="10">
                  <c:v>0.00501031085116999</c:v>
                </c:pt>
                <c:pt idx="11">
                  <c:v>0.00516579034866084</c:v>
                </c:pt>
                <c:pt idx="12">
                  <c:v>0.00532126984615168</c:v>
                </c:pt>
                <c:pt idx="13">
                  <c:v>0.00547674934400577</c:v>
                </c:pt>
                <c:pt idx="14">
                  <c:v>0.00563222884113424</c:v>
                </c:pt>
                <c:pt idx="15">
                  <c:v>0.00578770833862509</c:v>
                </c:pt>
                <c:pt idx="16">
                  <c:v>0.00594318783611594</c:v>
                </c:pt>
                <c:pt idx="17">
                  <c:v>0.00609866733369098</c:v>
                </c:pt>
                <c:pt idx="18">
                  <c:v>0.00625414683118183</c:v>
                </c:pt>
                <c:pt idx="19">
                  <c:v>0.00640962632867267</c:v>
                </c:pt>
                <c:pt idx="20">
                  <c:v>0.00656510582616352</c:v>
                </c:pt>
                <c:pt idx="21">
                  <c:v>0.00672058532365437</c:v>
                </c:pt>
                <c:pt idx="22">
                  <c:v>0.00687706482109987</c:v>
                </c:pt>
                <c:pt idx="23">
                  <c:v>0.00703154431863607</c:v>
                </c:pt>
                <c:pt idx="24">
                  <c:v>0.00718802381608157</c:v>
                </c:pt>
                <c:pt idx="25">
                  <c:v>0.00734250331361776</c:v>
                </c:pt>
                <c:pt idx="26">
                  <c:v>0.00749798281110861</c:v>
                </c:pt>
                <c:pt idx="27">
                  <c:v>0.00765346230859946</c:v>
                </c:pt>
                <c:pt idx="28">
                  <c:v>0.00780894180609031</c:v>
                </c:pt>
                <c:pt idx="29">
                  <c:v>0.00796442130353581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01-9E4B-B136-2E05699DA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251200"/>
        <c:axId val="2122793104"/>
      </c:scatterChart>
      <c:valAx>
        <c:axId val="-2145251200"/>
        <c:scaling>
          <c:orientation val="minMax"/>
          <c:min val="0.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2793104"/>
        <c:crosses val="autoZero"/>
        <c:crossBetween val="midCat"/>
      </c:valAx>
      <c:valAx>
        <c:axId val="212279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525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20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(20 years)'!$S$38:$S$1000</c:f>
              <c:numCache>
                <c:formatCode>0.000000%</c:formatCode>
                <c:ptCount val="963"/>
                <c:pt idx="0">
                  <c:v>0.00984128975595903</c:v>
                </c:pt>
                <c:pt idx="1">
                  <c:v>0.00978050658652288</c:v>
                </c:pt>
                <c:pt idx="2">
                  <c:v>0.0100938006427978</c:v>
                </c:pt>
                <c:pt idx="3">
                  <c:v>0.0106093164084968</c:v>
                </c:pt>
                <c:pt idx="4">
                  <c:v>0.0112887282916818</c:v>
                </c:pt>
                <c:pt idx="5">
                  <c:v>0.01210446970374</c:v>
                </c:pt>
                <c:pt idx="6">
                  <c:v>0.0130405077309811</c:v>
                </c:pt>
                <c:pt idx="7">
                  <c:v>0.0140463095962087</c:v>
                </c:pt>
                <c:pt idx="8">
                  <c:v>0.0151326349116718</c:v>
                </c:pt>
                <c:pt idx="9">
                  <c:v>0.0162757326730748</c:v>
                </c:pt>
                <c:pt idx="10">
                  <c:v>0.0174762948059329</c:v>
                </c:pt>
                <c:pt idx="11">
                  <c:v>0.0186901088581549</c:v>
                </c:pt>
                <c:pt idx="12">
                  <c:v>0.0199458775073169</c:v>
                </c:pt>
                <c:pt idx="13">
                  <c:v>0.0212264198234757</c:v>
                </c:pt>
                <c:pt idx="14">
                  <c:v>0.0225471367570448</c:v>
                </c:pt>
                <c:pt idx="15">
                  <c:v>0.0238909872982963</c:v>
                </c:pt>
                <c:pt idx="16">
                  <c:v>0.0252484084787864</c:v>
                </c:pt>
                <c:pt idx="17">
                  <c:v>0.0266173240049779</c:v>
                </c:pt>
                <c:pt idx="18">
                  <c:v>0.0279960478194749</c:v>
                </c:pt>
                <c:pt idx="19">
                  <c:v>0.0293831992758568</c:v>
                </c:pt>
                <c:pt idx="20">
                  <c:v>0.0307913272422303</c:v>
                </c:pt>
                <c:pt idx="21">
                  <c:v>0.0321784191904269</c:v>
                </c:pt>
                <c:pt idx="22">
                  <c:v>0.0335847467953542</c:v>
                </c:pt>
                <c:pt idx="23">
                  <c:v>0.0350097949031379</c:v>
                </c:pt>
                <c:pt idx="24">
                  <c:v>0.0364114704223819</c:v>
                </c:pt>
                <c:pt idx="25">
                  <c:v>0.0378308152645659</c:v>
                </c:pt>
                <c:pt idx="26">
                  <c:v>0.0392535723050307</c:v>
                </c:pt>
                <c:pt idx="27">
                  <c:v>0.040679383521397</c:v>
                </c:pt>
                <c:pt idx="28">
                  <c:v>0.042107938663696</c:v>
                </c:pt>
                <c:pt idx="29">
                  <c:v>0.0435394350267477</c:v>
                </c:pt>
              </c:numCache>
            </c:numRef>
          </c:xVal>
          <c:yVal>
            <c:numRef>
              <c:f>'Indices (20 years)'!$T$38:$T$1000</c:f>
              <c:numCache>
                <c:formatCode>0.000000%</c:formatCode>
                <c:ptCount val="963"/>
                <c:pt idx="0">
                  <c:v>0.00425087385719412</c:v>
                </c:pt>
                <c:pt idx="1">
                  <c:v>0.00435298877967381</c:v>
                </c:pt>
                <c:pt idx="2">
                  <c:v>0.00445510369460158</c:v>
                </c:pt>
                <c:pt idx="3">
                  <c:v>0.00455721861390421</c:v>
                </c:pt>
                <c:pt idx="4">
                  <c:v>0.00465933353286415</c:v>
                </c:pt>
                <c:pt idx="5">
                  <c:v>0.00476144845182408</c:v>
                </c:pt>
                <c:pt idx="6">
                  <c:v>0.00486456337076797</c:v>
                </c:pt>
                <c:pt idx="7">
                  <c:v>0.00496567828974574</c:v>
                </c:pt>
                <c:pt idx="8">
                  <c:v>0.00506779320870388</c:v>
                </c:pt>
                <c:pt idx="9">
                  <c:v>0.00516990812766381</c:v>
                </c:pt>
                <c:pt idx="10">
                  <c:v>0.0052730230466077</c:v>
                </c:pt>
                <c:pt idx="11">
                  <c:v>0.00537413796558547</c:v>
                </c:pt>
                <c:pt idx="12">
                  <c:v>0.00547625288454361</c:v>
                </c:pt>
                <c:pt idx="13">
                  <c:v>0.00557836780350354</c:v>
                </c:pt>
                <c:pt idx="14">
                  <c:v>0.00568048273595916</c:v>
                </c:pt>
                <c:pt idx="15">
                  <c:v>0.00578259764029806</c:v>
                </c:pt>
                <c:pt idx="16">
                  <c:v>0.005884712559258</c:v>
                </c:pt>
                <c:pt idx="17">
                  <c:v>0.00598682747821793</c:v>
                </c:pt>
                <c:pt idx="18">
                  <c:v>0.00608894239717786</c:v>
                </c:pt>
                <c:pt idx="19">
                  <c:v>0.00619105731613779</c:v>
                </c:pt>
                <c:pt idx="20">
                  <c:v>0.006294172235081</c:v>
                </c:pt>
                <c:pt idx="21">
                  <c:v>0.00639528715407038</c:v>
                </c:pt>
                <c:pt idx="22">
                  <c:v>0.00649740207301759</c:v>
                </c:pt>
                <c:pt idx="23">
                  <c:v>0.00660051699196079</c:v>
                </c:pt>
                <c:pt idx="24">
                  <c:v>0.00670163191095014</c:v>
                </c:pt>
                <c:pt idx="25">
                  <c:v>0.00680374682989742</c:v>
                </c:pt>
                <c:pt idx="26">
                  <c:v>0.00690586174885732</c:v>
                </c:pt>
                <c:pt idx="27">
                  <c:v>0.00700797666781724</c:v>
                </c:pt>
                <c:pt idx="28">
                  <c:v>0.00711009158677719</c:v>
                </c:pt>
                <c:pt idx="29">
                  <c:v>0.00721220650703215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484-A845-ADAB-7F356082E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7117792"/>
        <c:axId val="-2065851936"/>
      </c:scatterChart>
      <c:valAx>
        <c:axId val="-2047117792"/>
        <c:scaling>
          <c:orientation val="minMax"/>
          <c:min val="0.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5851936"/>
        <c:crosses val="autoZero"/>
        <c:crossBetween val="midCat"/>
      </c:valAx>
      <c:valAx>
        <c:axId val="-206585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711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4 indices 20 years with constrainsts: 5% ≤ </a:t>
            </a:r>
            <a:r>
              <a:rPr lang="en-US" sz="1800" b="1" i="0" baseline="0">
                <a:effectLst/>
              </a:rPr>
              <a:t>w</a:t>
            </a:r>
            <a:r>
              <a:rPr lang="en-US" sz="1800" b="0" i="0" baseline="0">
                <a:effectLst/>
              </a:rPr>
              <a:t> ≤ 50%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'Indices (30 years)'!$S$38:$S$1000</c:f>
              <c:numCache>
                <c:formatCode>0.000000%</c:formatCode>
                <c:ptCount val="963"/>
                <c:pt idx="0">
                  <c:v>0.0111398240739589</c:v>
                </c:pt>
                <c:pt idx="1">
                  <c:v>0.0111945308611215</c:v>
                </c:pt>
                <c:pt idx="2">
                  <c:v>0.0115113330501582</c:v>
                </c:pt>
                <c:pt idx="3">
                  <c:v>0.0119453874897922</c:v>
                </c:pt>
                <c:pt idx="4">
                  <c:v>0.0124782194924816</c:v>
                </c:pt>
                <c:pt idx="5">
                  <c:v>0.0131037348654279</c:v>
                </c:pt>
                <c:pt idx="6">
                  <c:v>0.0138074612409025</c:v>
                </c:pt>
                <c:pt idx="7">
                  <c:v>0.0145780765943403</c:v>
                </c:pt>
                <c:pt idx="8">
                  <c:v>0.0154098446540208</c:v>
                </c:pt>
                <c:pt idx="9">
                  <c:v>0.0162812044412651</c:v>
                </c:pt>
                <c:pt idx="10">
                  <c:v>0.0171976913467986</c:v>
                </c:pt>
                <c:pt idx="11">
                  <c:v>0.0181540168401688</c:v>
                </c:pt>
                <c:pt idx="12">
                  <c:v>0.0191294407988348</c:v>
                </c:pt>
                <c:pt idx="13">
                  <c:v>0.0201390178826971</c:v>
                </c:pt>
                <c:pt idx="14">
                  <c:v>0.021178390377806</c:v>
                </c:pt>
                <c:pt idx="15">
                  <c:v>0.0222346804924409</c:v>
                </c:pt>
                <c:pt idx="16">
                  <c:v>0.023305588043788</c:v>
                </c:pt>
                <c:pt idx="17">
                  <c:v>0.0244033819175259</c:v>
                </c:pt>
                <c:pt idx="18">
                  <c:v>0.0255412994827032</c:v>
                </c:pt>
                <c:pt idx="19">
                  <c:v>0.0267235757531151</c:v>
                </c:pt>
                <c:pt idx="20">
                  <c:v>0.0279273528132648</c:v>
                </c:pt>
                <c:pt idx="21">
                  <c:v>0.0291579211597486</c:v>
                </c:pt>
                <c:pt idx="22">
                  <c:v>0.0304120287819987</c:v>
                </c:pt>
                <c:pt idx="23">
                  <c:v>0.0316868808814243</c:v>
                </c:pt>
                <c:pt idx="24">
                  <c:v>0.0329698544037841</c:v>
                </c:pt>
                <c:pt idx="25">
                  <c:v>0.0342895270008037</c:v>
                </c:pt>
                <c:pt idx="26">
                  <c:v>0.0356134522130005</c:v>
                </c:pt>
                <c:pt idx="27">
                  <c:v>0.0369397512176676</c:v>
                </c:pt>
                <c:pt idx="28">
                  <c:v>0.0382986945330736</c:v>
                </c:pt>
                <c:pt idx="29">
                  <c:v>0.040592414819907</c:v>
                </c:pt>
              </c:numCache>
            </c:numRef>
          </c:xVal>
          <c:yVal>
            <c:numRef>
              <c:f>'Indices (30 years)'!$T$38:$T$1000</c:f>
              <c:numCache>
                <c:formatCode>0.000000%</c:formatCode>
                <c:ptCount val="963"/>
                <c:pt idx="0">
                  <c:v>0.00539770595147219</c:v>
                </c:pt>
                <c:pt idx="1">
                  <c:v>0.00552509335934602</c:v>
                </c:pt>
                <c:pt idx="2">
                  <c:v>0.00565248076495801</c:v>
                </c:pt>
                <c:pt idx="3">
                  <c:v>0.00578043916095934</c:v>
                </c:pt>
                <c:pt idx="4">
                  <c:v>0.00590725557622505</c:v>
                </c:pt>
                <c:pt idx="5">
                  <c:v>0.00603464298187338</c:v>
                </c:pt>
                <c:pt idx="6">
                  <c:v>0.00616203038751184</c:v>
                </c:pt>
                <c:pt idx="7">
                  <c:v>0.0062894177931503</c:v>
                </c:pt>
                <c:pt idx="8">
                  <c:v>0.00641744708273609</c:v>
                </c:pt>
                <c:pt idx="9">
                  <c:v>0.0065441926044161</c:v>
                </c:pt>
                <c:pt idx="10">
                  <c:v>0.00667158001006566</c:v>
                </c:pt>
                <c:pt idx="11">
                  <c:v>0.0067996518356217</c:v>
                </c:pt>
                <c:pt idx="12">
                  <c:v>0.00692635482124283</c:v>
                </c:pt>
                <c:pt idx="13">
                  <c:v>0.00705374222485796</c:v>
                </c:pt>
                <c:pt idx="14">
                  <c:v>0.00718112963040004</c:v>
                </c:pt>
                <c:pt idx="15">
                  <c:v>0.0073085170360385</c:v>
                </c:pt>
                <c:pt idx="16">
                  <c:v>0.00743590444167696</c:v>
                </c:pt>
                <c:pt idx="17">
                  <c:v>0.00756329184734799</c:v>
                </c:pt>
                <c:pt idx="18">
                  <c:v>0.00769067925298645</c:v>
                </c:pt>
                <c:pt idx="19">
                  <c:v>0.00781906665860285</c:v>
                </c:pt>
                <c:pt idx="20">
                  <c:v>0.00794645406424131</c:v>
                </c:pt>
                <c:pt idx="21">
                  <c:v>0.00807384146987977</c:v>
                </c:pt>
                <c:pt idx="22">
                  <c:v>0.00820122887551822</c:v>
                </c:pt>
                <c:pt idx="23">
                  <c:v>0.00832861628115668</c:v>
                </c:pt>
                <c:pt idx="24">
                  <c:v>0.00845500368681718</c:v>
                </c:pt>
                <c:pt idx="25">
                  <c:v>0.00858339109243359</c:v>
                </c:pt>
                <c:pt idx="26">
                  <c:v>0.00871077849807205</c:v>
                </c:pt>
                <c:pt idx="27">
                  <c:v>0.00883716590373255</c:v>
                </c:pt>
                <c:pt idx="28">
                  <c:v>0.00896555330934896</c:v>
                </c:pt>
                <c:pt idx="29">
                  <c:v>0.00909194071498741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6C1-464B-B399-802F858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684576"/>
        <c:axId val="2124546000"/>
      </c:scatterChart>
      <c:valAx>
        <c:axId val="2124684576"/>
        <c:scaling>
          <c:orientation val="minMax"/>
          <c:min val="0.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546000"/>
        <c:crosses val="autoZero"/>
        <c:crossBetween val="midCat"/>
      </c:valAx>
      <c:valAx>
        <c:axId val="212454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68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458874</xdr:colOff>
      <xdr:row>38</xdr:row>
      <xdr:rowOff>188940</xdr:rowOff>
    </xdr:from>
    <xdr:to>
      <xdr:col>29</xdr:col>
      <xdr:colOff>782320</xdr:colOff>
      <xdr:row>60</xdr:row>
      <xdr:rowOff>20320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160816</xdr:colOff>
      <xdr:row>68</xdr:row>
      <xdr:rowOff>19835</xdr:rowOff>
    </xdr:from>
    <xdr:to>
      <xdr:col>13</xdr:col>
      <xdr:colOff>2209800</xdr:colOff>
      <xdr:row>88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FB4FE571-B4BB-3F4D-9220-884685883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2284547</xdr:colOff>
      <xdr:row>68</xdr:row>
      <xdr:rowOff>13736</xdr:rowOff>
    </xdr:from>
    <xdr:to>
      <xdr:col>16</xdr:col>
      <xdr:colOff>356492</xdr:colOff>
      <xdr:row>88</xdr:row>
      <xdr:rowOff>44404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F8EFFCC3-BE8B-6C44-957F-986D8A504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149793</xdr:colOff>
      <xdr:row>40</xdr:row>
      <xdr:rowOff>46243</xdr:rowOff>
    </xdr:from>
    <xdr:to>
      <xdr:col>30</xdr:col>
      <xdr:colOff>473239</xdr:colOff>
      <xdr:row>61</xdr:row>
      <xdr:rowOff>77398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73D8A137-4DE9-9940-9D66-587944E83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</xdr:colOff>
      <xdr:row>1</xdr:row>
      <xdr:rowOff>3785</xdr:rowOff>
    </xdr:from>
    <xdr:to>
      <xdr:col>9</xdr:col>
      <xdr:colOff>824385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1104900</xdr:colOff>
          <xdr:row>32</xdr:row>
          <xdr:rowOff>254000</xdr:rowOff>
        </xdr:from>
        <xdr:to>
          <xdr:col>25</xdr:col>
          <xdr:colOff>292100</xdr:colOff>
          <xdr:row>37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Constrained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999067</xdr:colOff>
      <xdr:row>39</xdr:row>
      <xdr:rowOff>177800</xdr:rowOff>
    </xdr:from>
    <xdr:to>
      <xdr:col>28</xdr:col>
      <xdr:colOff>84667</xdr:colOff>
      <xdr:row>63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23"/>
  <sheetViews>
    <sheetView workbookViewId="0">
      <selection activeCell="F29" sqref="F29"/>
    </sheetView>
  </sheetViews>
  <sheetFormatPr baseColWidth="10" defaultRowHeight="16" x14ac:dyDescent="0.2"/>
  <cols>
    <col min="1" max="1" width="10.83203125" style="4" customWidth="1"/>
    <col min="2" max="2" width="10.83203125" style="4"/>
    <col min="3" max="3" width="11" style="4" bestFit="1" customWidth="1"/>
    <col min="4" max="6" width="13.1640625" style="4" bestFit="1" customWidth="1"/>
    <col min="7" max="7" width="11" style="4" bestFit="1" customWidth="1"/>
    <col min="8" max="16384" width="10.83203125" style="4"/>
  </cols>
  <sheetData>
    <row r="1" spans="1:7" x14ac:dyDescent="0.2">
      <c r="A1" s="4" t="s">
        <v>47</v>
      </c>
    </row>
    <row r="2" spans="1:7" x14ac:dyDescent="0.2">
      <c r="B2" s="54" t="s">
        <v>35</v>
      </c>
    </row>
    <row r="3" spans="1:7" x14ac:dyDescent="0.2">
      <c r="C3" s="4" t="s">
        <v>1</v>
      </c>
      <c r="D3" s="4" t="s">
        <v>3</v>
      </c>
      <c r="E3" s="4" t="s">
        <v>4</v>
      </c>
      <c r="F3" s="4" t="s">
        <v>5</v>
      </c>
      <c r="G3" s="4" t="s">
        <v>6</v>
      </c>
    </row>
    <row r="4" spans="1:7" x14ac:dyDescent="0.2">
      <c r="B4" s="4" t="s">
        <v>1</v>
      </c>
      <c r="C4" s="4">
        <v>1.2016818359347886E-3</v>
      </c>
      <c r="D4" s="4">
        <v>3.4201059896953165E-4</v>
      </c>
      <c r="E4" s="4">
        <v>3.3463779479559001E-4</v>
      </c>
      <c r="F4" s="4">
        <v>-7.7579938106753287E-5</v>
      </c>
      <c r="G4" s="4">
        <v>-3.3666110518404196E-4</v>
      </c>
    </row>
    <row r="5" spans="1:7" x14ac:dyDescent="0.2">
      <c r="B5" s="4" t="s">
        <v>3</v>
      </c>
      <c r="C5" s="4">
        <v>3.4201059896953165E-4</v>
      </c>
      <c r="D5" s="4">
        <v>5.5439476184456003E-4</v>
      </c>
      <c r="E5" s="4">
        <v>2.5583758396945241E-4</v>
      </c>
      <c r="F5" s="4">
        <v>1.5283618061714417E-5</v>
      </c>
      <c r="G5" s="4">
        <v>-6.1659141131778234E-5</v>
      </c>
    </row>
    <row r="6" spans="1:7" x14ac:dyDescent="0.2">
      <c r="B6" s="4" t="s">
        <v>4</v>
      </c>
      <c r="C6" s="4">
        <v>3.3463779479559001E-4</v>
      </c>
      <c r="D6" s="4">
        <v>2.5583758396945241E-4</v>
      </c>
      <c r="E6" s="4">
        <v>1.406993106436064E-3</v>
      </c>
      <c r="F6" s="4">
        <v>9.0891601916951924E-6</v>
      </c>
      <c r="G6" s="4">
        <v>-5.677805302291944E-5</v>
      </c>
    </row>
    <row r="7" spans="1:7" x14ac:dyDescent="0.2">
      <c r="B7" s="4" t="s">
        <v>5</v>
      </c>
      <c r="C7" s="4">
        <v>-7.7579938106753287E-5</v>
      </c>
      <c r="D7" s="4">
        <v>1.5283618061714417E-5</v>
      </c>
      <c r="E7" s="4">
        <v>9.0891601916951924E-6</v>
      </c>
      <c r="F7" s="4">
        <v>4.6974164240222694E-5</v>
      </c>
      <c r="G7" s="4">
        <v>8.5489117070013942E-5</v>
      </c>
    </row>
    <row r="8" spans="1:7" x14ac:dyDescent="0.2">
      <c r="B8" s="4" t="s">
        <v>6</v>
      </c>
      <c r="C8" s="4">
        <v>-3.3666110518404196E-4</v>
      </c>
      <c r="D8" s="4">
        <v>-6.1659141131778234E-5</v>
      </c>
      <c r="E8" s="4">
        <v>-5.677805302291944E-5</v>
      </c>
      <c r="F8" s="4">
        <v>8.5489117070013942E-5</v>
      </c>
      <c r="G8" s="4">
        <v>2.6137418920193774E-4</v>
      </c>
    </row>
    <row r="11" spans="1:7" x14ac:dyDescent="0.2">
      <c r="C11" s="54" t="s">
        <v>7</v>
      </c>
    </row>
    <row r="12" spans="1:7" x14ac:dyDescent="0.2">
      <c r="B12" s="4" t="s">
        <v>1</v>
      </c>
      <c r="C12" s="4">
        <v>4.1880012814911475E-3</v>
      </c>
    </row>
    <row r="13" spans="1:7" x14ac:dyDescent="0.2">
      <c r="B13" s="4" t="s">
        <v>3</v>
      </c>
      <c r="C13" s="4">
        <v>4.1640676299799662E-3</v>
      </c>
    </row>
    <row r="14" spans="1:7" x14ac:dyDescent="0.2">
      <c r="B14" s="4" t="s">
        <v>4</v>
      </c>
      <c r="C14" s="4">
        <v>2.165530346985169E-3</v>
      </c>
    </row>
    <row r="15" spans="1:7" x14ac:dyDescent="0.2">
      <c r="B15" s="4" t="s">
        <v>5</v>
      </c>
      <c r="C15" s="4">
        <v>1.2583448595402135E-3</v>
      </c>
    </row>
    <row r="16" spans="1:7" x14ac:dyDescent="0.2">
      <c r="B16" s="4" t="s">
        <v>6</v>
      </c>
      <c r="C16" s="4">
        <v>1.0878990106872855E-3</v>
      </c>
    </row>
    <row r="18" spans="1:4" x14ac:dyDescent="0.2">
      <c r="A18" s="4" t="s">
        <v>48</v>
      </c>
    </row>
    <row r="19" spans="1:4" x14ac:dyDescent="0.2">
      <c r="B19" s="54" t="s">
        <v>46</v>
      </c>
    </row>
    <row r="20" spans="1:4" x14ac:dyDescent="0.2">
      <c r="B20" s="12" t="s">
        <v>19</v>
      </c>
      <c r="C20" s="12" t="s">
        <v>1</v>
      </c>
      <c r="D20" s="26">
        <f>MAX(C12:C16)</f>
        <v>4.1880012814911475E-3</v>
      </c>
    </row>
    <row r="21" spans="1:4" x14ac:dyDescent="0.2">
      <c r="B21" s="12" t="s">
        <v>20</v>
      </c>
      <c r="C21" s="12" t="s">
        <v>6</v>
      </c>
      <c r="D21" s="26">
        <f>MIN(C12:C16)</f>
        <v>1.0878990106872855E-3</v>
      </c>
    </row>
    <row r="22" spans="1:4" x14ac:dyDescent="0.2">
      <c r="B22" s="12" t="s">
        <v>21</v>
      </c>
      <c r="C22" s="12" t="s">
        <v>4</v>
      </c>
      <c r="D22" s="26">
        <f>MAX(D12:D16)</f>
        <v>0</v>
      </c>
    </row>
    <row r="23" spans="1:4" x14ac:dyDescent="0.2">
      <c r="B23" s="12" t="s">
        <v>22</v>
      </c>
      <c r="C23" s="12" t="s">
        <v>5</v>
      </c>
      <c r="D23" s="26">
        <f>MIN(D12:D16)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E1000"/>
  <sheetViews>
    <sheetView topLeftCell="P31" workbookViewId="0">
      <selection activeCell="S31" sqref="S31"/>
    </sheetView>
  </sheetViews>
  <sheetFormatPr baseColWidth="10" defaultColWidth="10.83203125" defaultRowHeight="16" x14ac:dyDescent="0.2"/>
  <cols>
    <col min="1" max="11" width="11" style="4" bestFit="1" customWidth="1"/>
    <col min="12" max="12" width="11" style="4" customWidth="1"/>
    <col min="13" max="17" width="35.33203125" style="12" customWidth="1"/>
    <col min="18" max="18" width="15.3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2" t="s">
        <v>1</v>
      </c>
      <c r="C1" s="1" t="s">
        <v>2</v>
      </c>
      <c r="D1" s="2" t="s">
        <v>3</v>
      </c>
      <c r="E1" s="1" t="s">
        <v>2</v>
      </c>
      <c r="F1" s="2" t="s">
        <v>4</v>
      </c>
      <c r="G1" s="1" t="s">
        <v>2</v>
      </c>
      <c r="H1" s="2" t="s">
        <v>5</v>
      </c>
      <c r="I1" s="1" t="s">
        <v>2</v>
      </c>
      <c r="J1" s="2" t="s">
        <v>6</v>
      </c>
      <c r="K1" s="1" t="s">
        <v>2</v>
      </c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5">
        <v>42366</v>
      </c>
      <c r="B2" s="1">
        <v>175.26364100000001</v>
      </c>
      <c r="C2" s="1"/>
      <c r="D2" s="1">
        <v>126.577583</v>
      </c>
      <c r="E2" s="1"/>
      <c r="F2" s="1">
        <v>16.512884</v>
      </c>
      <c r="G2" s="1"/>
      <c r="H2" s="1">
        <v>106.62969200000001</v>
      </c>
      <c r="I2" s="1"/>
      <c r="J2" s="1">
        <v>114.606506</v>
      </c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5">
        <v>42373</v>
      </c>
      <c r="B3" s="1">
        <v>159.42253099999999</v>
      </c>
      <c r="C3" s="1">
        <f>B3/B2-1</f>
        <v>-9.03844625708764E-2</v>
      </c>
      <c r="D3" s="1">
        <v>118.585739</v>
      </c>
      <c r="E3" s="1">
        <f>D3/D2-1</f>
        <v>-6.3137909656562186E-2</v>
      </c>
      <c r="F3" s="1">
        <v>16.474526999999998</v>
      </c>
      <c r="G3" s="1">
        <f>F3/F2-1</f>
        <v>-2.3228528705222518E-3</v>
      </c>
      <c r="H3" s="1">
        <v>107.218925</v>
      </c>
      <c r="I3" s="1">
        <f>H3/H2-1</f>
        <v>5.5259748851190782E-3</v>
      </c>
      <c r="J3" s="1">
        <v>117.24881000000001</v>
      </c>
      <c r="K3" s="1">
        <f>J3/J2-1</f>
        <v>2.3055445037300171E-2</v>
      </c>
      <c r="L3" s="1"/>
      <c r="M3" s="36"/>
      <c r="N3" s="36" t="s">
        <v>1</v>
      </c>
      <c r="O3" s="36" t="s">
        <v>3</v>
      </c>
      <c r="P3" s="36" t="s">
        <v>4</v>
      </c>
      <c r="Q3" s="36" t="s">
        <v>5</v>
      </c>
      <c r="R3" s="37" t="s">
        <v>6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5">
        <v>42380</v>
      </c>
      <c r="B4" s="1">
        <v>151.32208299999999</v>
      </c>
      <c r="C4" s="1">
        <f t="shared" ref="C4:C67" si="0">B4/B3-1</f>
        <v>-5.0811186782626083E-2</v>
      </c>
      <c r="D4" s="1">
        <v>114.116035</v>
      </c>
      <c r="E4" s="1">
        <f t="shared" ref="E4:E67" si="1">D4/D3-1</f>
        <v>-3.7691749764278248E-2</v>
      </c>
      <c r="F4" s="1">
        <v>16.675901</v>
      </c>
      <c r="G4" s="1">
        <f t="shared" ref="G4:G67" si="2">F4/F3-1</f>
        <v>1.2223355486928433E-2</v>
      </c>
      <c r="H4" s="1">
        <v>106.75129699999999</v>
      </c>
      <c r="I4" s="1">
        <f t="shared" ref="I4:I67" si="3">H4/H3-1</f>
        <v>-4.3614315289954853E-3</v>
      </c>
      <c r="J4" s="53">
        <v>119.520393</v>
      </c>
      <c r="K4" s="1">
        <f t="shared" ref="K4:K67" si="4">J4/J3-1</f>
        <v>1.9374038849520048E-2</v>
      </c>
      <c r="L4" s="1"/>
      <c r="M4" s="36" t="s">
        <v>1</v>
      </c>
      <c r="N4" s="36">
        <f>VAR(C3:C106)</f>
        <v>1.2016818359347886E-3</v>
      </c>
      <c r="O4" s="36">
        <f>COVAR(E3:E106, C3:C106)</f>
        <v>3.4201059896953165E-4</v>
      </c>
      <c r="P4" s="36">
        <f>COVAR(G3:G106, C3:C106)</f>
        <v>3.3463779479559001E-4</v>
      </c>
      <c r="Q4" s="36">
        <f>COVAR(I3:I106, C3:C106)</f>
        <v>-7.7579938106753287E-5</v>
      </c>
      <c r="R4" s="37">
        <f>COVAR(K3:K106, C3:C106)</f>
        <v>-3.3666110518404196E-4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5">
        <v>42387</v>
      </c>
      <c r="B5" s="1">
        <v>152.53762800000001</v>
      </c>
      <c r="C5" s="1">
        <f t="shared" si="0"/>
        <v>8.0328328549377215E-3</v>
      </c>
      <c r="D5" s="1">
        <v>117.494629</v>
      </c>
      <c r="E5" s="1">
        <f t="shared" si="1"/>
        <v>2.9606654314619396E-2</v>
      </c>
      <c r="F5" s="1">
        <v>18.06636</v>
      </c>
      <c r="G5" s="1">
        <f t="shared" si="2"/>
        <v>8.3381341733798964E-2</v>
      </c>
      <c r="H5" s="1">
        <v>106.190117</v>
      </c>
      <c r="I5" s="1">
        <f t="shared" si="3"/>
        <v>-5.2568916328949999E-3</v>
      </c>
      <c r="J5" s="1">
        <v>119.130707</v>
      </c>
      <c r="K5" s="1">
        <f t="shared" si="4"/>
        <v>-3.2604143127273888E-3</v>
      </c>
      <c r="L5" s="1"/>
      <c r="M5" s="36" t="s">
        <v>3</v>
      </c>
      <c r="N5" s="36">
        <f>COVAR(C3:C106, E3:E106)</f>
        <v>3.4201059896953165E-4</v>
      </c>
      <c r="O5" s="36">
        <f>VAR(E3:E106)</f>
        <v>5.5439476184456003E-4</v>
      </c>
      <c r="P5" s="36">
        <f>COVAR(G3:G106, E3:E106)</f>
        <v>2.5583758396945241E-4</v>
      </c>
      <c r="Q5" s="36">
        <f>COVAR(I3:I106, E3:E106)</f>
        <v>1.5283618061714417E-5</v>
      </c>
      <c r="R5" s="38">
        <f>COVAR(K3:K106, E3:E106)</f>
        <v>-6.1659141131778234E-5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5">
        <v>42394</v>
      </c>
      <c r="B6" s="1">
        <v>157.108124</v>
      </c>
      <c r="C6" s="1">
        <f t="shared" si="0"/>
        <v>2.9963072455800877E-2</v>
      </c>
      <c r="D6" s="1">
        <v>120.365967</v>
      </c>
      <c r="E6" s="1">
        <f t="shared" si="1"/>
        <v>2.4438036227170779E-2</v>
      </c>
      <c r="F6" s="1">
        <v>17.414283999999999</v>
      </c>
      <c r="G6" s="1">
        <f t="shared" si="2"/>
        <v>-3.6093380182837143E-2</v>
      </c>
      <c r="H6" s="1">
        <v>106.76062</v>
      </c>
      <c r="I6" s="1">
        <f t="shared" si="3"/>
        <v>5.372467948217885E-3</v>
      </c>
      <c r="J6" s="1">
        <v>120.993629</v>
      </c>
      <c r="K6" s="1">
        <f t="shared" si="4"/>
        <v>1.5637630690800819E-2</v>
      </c>
      <c r="L6" s="1"/>
      <c r="M6" s="36" t="s">
        <v>4</v>
      </c>
      <c r="N6" s="39">
        <f>COVAR(C3:C106, G3:G106)</f>
        <v>3.3463779479559001E-4</v>
      </c>
      <c r="O6" s="39">
        <f>COVAR(E3:E106, G3:G106)</f>
        <v>2.5583758396945241E-4</v>
      </c>
      <c r="P6" s="36">
        <f>VAR(G3:G106)</f>
        <v>1.406993106436064E-3</v>
      </c>
      <c r="Q6" s="36">
        <f>COVAR(I3:I106, G3:G106)</f>
        <v>9.0891601916951924E-6</v>
      </c>
      <c r="R6" s="37">
        <f>COVAR(K3:K106, G3:G106)</f>
        <v>-5.677805302291944E-5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5">
        <v>42401</v>
      </c>
      <c r="B7" s="1">
        <v>152.15838600000001</v>
      </c>
      <c r="C7" s="1">
        <f t="shared" si="0"/>
        <v>-3.1505296314275899E-2</v>
      </c>
      <c r="D7" s="1">
        <v>111.436127</v>
      </c>
      <c r="E7" s="1">
        <f t="shared" si="1"/>
        <v>-7.4189077050326069E-2</v>
      </c>
      <c r="F7" s="1">
        <v>17.53895</v>
      </c>
      <c r="G7" s="1">
        <f t="shared" si="2"/>
        <v>7.1588358154719423E-3</v>
      </c>
      <c r="H7" s="1">
        <v>106.06852000000001</v>
      </c>
      <c r="I7" s="1">
        <f t="shared" si="3"/>
        <v>-6.4827274326432205E-3</v>
      </c>
      <c r="J7" s="1">
        <v>122.3433</v>
      </c>
      <c r="K7" s="1">
        <f t="shared" si="4"/>
        <v>1.1154893122513165E-2</v>
      </c>
      <c r="L7" s="1"/>
      <c r="M7" s="36" t="s">
        <v>5</v>
      </c>
      <c r="N7" s="39">
        <f>COVAR(C3:C106, I3:I106)</f>
        <v>-7.7579938106753287E-5</v>
      </c>
      <c r="O7" s="36">
        <f>COVAR(E3:E106, I3:I106)</f>
        <v>1.5283618061714417E-5</v>
      </c>
      <c r="P7" s="36">
        <f>COVAR(G3:G106, I3:I106)</f>
        <v>9.0891601916951924E-6</v>
      </c>
      <c r="Q7" s="36">
        <f>VAR(I3:I106)</f>
        <v>4.6974164240222694E-5</v>
      </c>
      <c r="R7" s="37">
        <f>COVAR(K3:K106, I3:I106)</f>
        <v>8.5489117070013942E-5</v>
      </c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5">
        <v>42408</v>
      </c>
      <c r="B8" s="1">
        <v>142.10333299999999</v>
      </c>
      <c r="C8" s="1">
        <f t="shared" si="0"/>
        <v>-6.608280532102917E-2</v>
      </c>
      <c r="D8" s="1">
        <v>111.330856</v>
      </c>
      <c r="E8" s="1">
        <f t="shared" si="1"/>
        <v>-9.4467568852241168E-4</v>
      </c>
      <c r="F8" s="1">
        <v>17.201941000000001</v>
      </c>
      <c r="G8" s="1">
        <f t="shared" si="2"/>
        <v>-1.9214890287046704E-2</v>
      </c>
      <c r="H8" s="1">
        <v>106.457649</v>
      </c>
      <c r="I8" s="1">
        <f t="shared" si="3"/>
        <v>3.6686568267381148E-3</v>
      </c>
      <c r="J8" s="1">
        <v>125.222633</v>
      </c>
      <c r="K8" s="1">
        <f t="shared" si="4"/>
        <v>2.3534864598224958E-2</v>
      </c>
      <c r="L8" s="1"/>
      <c r="M8" s="36" t="s">
        <v>6</v>
      </c>
      <c r="N8" s="36">
        <f>COVAR(C3:C106, K3:K106)</f>
        <v>-3.3666110518404196E-4</v>
      </c>
      <c r="O8" s="36">
        <f>COVAR(E3:E106, K3:K106)</f>
        <v>-6.1659141131778234E-5</v>
      </c>
      <c r="P8" s="36">
        <f>COVAR(G3:G106, K3:K106)</f>
        <v>-5.677805302291944E-5</v>
      </c>
      <c r="Q8" s="36">
        <f>COVAR(I3:I106, K3:K106)</f>
        <v>8.5489117070013942E-5</v>
      </c>
      <c r="R8" s="37">
        <f>VAR(K3:K106)</f>
        <v>2.6137418920193774E-4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5">
        <v>42415</v>
      </c>
      <c r="B9" s="1">
        <v>142.86183199999999</v>
      </c>
      <c r="C9" s="1">
        <f t="shared" si="0"/>
        <v>5.3376580547903618E-3</v>
      </c>
      <c r="D9" s="1">
        <v>116.470535</v>
      </c>
      <c r="E9" s="1">
        <f t="shared" si="1"/>
        <v>4.6165808695479704E-2</v>
      </c>
      <c r="F9" s="1">
        <v>17.780155000000001</v>
      </c>
      <c r="G9" s="1">
        <f t="shared" si="2"/>
        <v>3.3613299801458441E-2</v>
      </c>
      <c r="H9" s="1">
        <v>106.710938</v>
      </c>
      <c r="I9" s="1">
        <f t="shared" si="3"/>
        <v>2.3792466053800254E-3</v>
      </c>
      <c r="J9" s="1">
        <v>124.756035</v>
      </c>
      <c r="K9" s="1">
        <f t="shared" si="4"/>
        <v>-3.7261474928418359E-3</v>
      </c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5">
        <v>42422</v>
      </c>
      <c r="B10" s="1">
        <v>146.10977199999999</v>
      </c>
      <c r="C10" s="1">
        <f t="shared" si="0"/>
        <v>2.2734833751816952E-2</v>
      </c>
      <c r="D10" s="1">
        <v>120.844521</v>
      </c>
      <c r="E10" s="1">
        <f t="shared" si="1"/>
        <v>3.7554442417560896E-2</v>
      </c>
      <c r="F10" s="1">
        <v>18.107814999999999</v>
      </c>
      <c r="G10" s="1">
        <f t="shared" si="2"/>
        <v>1.842841077594648E-2</v>
      </c>
      <c r="H10" s="1">
        <v>107.808418</v>
      </c>
      <c r="I10" s="1">
        <f t="shared" si="3"/>
        <v>1.0284606438376587E-2</v>
      </c>
      <c r="J10" s="1">
        <v>124.184647</v>
      </c>
      <c r="K10" s="1">
        <f t="shared" si="4"/>
        <v>-4.5800429614487603E-3</v>
      </c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5">
        <v>42429</v>
      </c>
      <c r="B11" s="1">
        <v>152.51817299999999</v>
      </c>
      <c r="C11" s="1">
        <f t="shared" si="0"/>
        <v>4.3860180686614125E-2</v>
      </c>
      <c r="D11" s="1">
        <v>120.17453</v>
      </c>
      <c r="E11" s="1">
        <f t="shared" si="1"/>
        <v>-5.5442397756700901E-3</v>
      </c>
      <c r="F11" s="1">
        <v>17.712696000000001</v>
      </c>
      <c r="G11" s="1">
        <f t="shared" si="2"/>
        <v>-2.1820357674296798E-2</v>
      </c>
      <c r="H11" s="1">
        <v>107.686485</v>
      </c>
      <c r="I11" s="1">
        <f t="shared" si="3"/>
        <v>-1.1310155761676821E-3</v>
      </c>
      <c r="J11" s="1">
        <v>122.46106</v>
      </c>
      <c r="K11" s="1">
        <f t="shared" si="4"/>
        <v>-1.3879227759933888E-2</v>
      </c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5">
        <v>42436</v>
      </c>
      <c r="B12" s="1">
        <v>150.34854100000001</v>
      </c>
      <c r="C12" s="1">
        <f t="shared" si="0"/>
        <v>-1.4225399880707812E-2</v>
      </c>
      <c r="D12" s="1">
        <v>122.950157</v>
      </c>
      <c r="E12" s="1">
        <f t="shared" si="1"/>
        <v>2.3096632872206868E-2</v>
      </c>
      <c r="F12" s="1">
        <v>18.541473</v>
      </c>
      <c r="G12" s="1">
        <f t="shared" si="2"/>
        <v>4.678999741202583E-2</v>
      </c>
      <c r="H12" s="1">
        <v>109.336952</v>
      </c>
      <c r="I12" s="1">
        <f t="shared" si="3"/>
        <v>1.532659367607736E-2</v>
      </c>
      <c r="J12" s="1">
        <v>121.5103</v>
      </c>
      <c r="K12" s="1">
        <f t="shared" si="4"/>
        <v>-7.7637740519312937E-3</v>
      </c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5">
        <v>42443</v>
      </c>
      <c r="B13" s="1">
        <v>153.923157</v>
      </c>
      <c r="C13" s="1">
        <f t="shared" si="0"/>
        <v>2.3775528357139031E-2</v>
      </c>
      <c r="D13" s="1">
        <v>126.407478</v>
      </c>
      <c r="E13" s="1">
        <f t="shared" si="1"/>
        <v>2.8119695690994373E-2</v>
      </c>
      <c r="F13" s="1">
        <v>18.888403</v>
      </c>
      <c r="G13" s="1">
        <f t="shared" si="2"/>
        <v>1.8711026896298888E-2</v>
      </c>
      <c r="H13" s="1">
        <v>110.738724</v>
      </c>
      <c r="I13" s="1">
        <f t="shared" si="3"/>
        <v>1.282066103324353E-2</v>
      </c>
      <c r="J13" s="1">
        <v>123.13222500000001</v>
      </c>
      <c r="K13" s="1">
        <f t="shared" si="4"/>
        <v>1.3348045392036711E-2</v>
      </c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5">
        <v>42450</v>
      </c>
      <c r="B14" s="1">
        <v>149.43045000000001</v>
      </c>
      <c r="C14" s="1">
        <f t="shared" si="0"/>
        <v>-2.9187986314495817E-2</v>
      </c>
      <c r="D14" s="1">
        <v>125.55098</v>
      </c>
      <c r="E14" s="1">
        <f t="shared" si="1"/>
        <v>-6.7756909128430243E-3</v>
      </c>
      <c r="F14" s="1">
        <v>18.695667</v>
      </c>
      <c r="G14" s="1">
        <f t="shared" si="2"/>
        <v>-1.02039330694077E-2</v>
      </c>
      <c r="H14" s="1">
        <v>110.908073</v>
      </c>
      <c r="I14" s="1">
        <f t="shared" si="3"/>
        <v>1.5292663115749061E-3</v>
      </c>
      <c r="J14" s="1">
        <v>123.59017900000001</v>
      </c>
      <c r="K14" s="1">
        <f t="shared" si="4"/>
        <v>3.7192051065428888E-3</v>
      </c>
      <c r="L14" s="1"/>
      <c r="M14" s="12" t="s">
        <v>1</v>
      </c>
      <c r="N14" s="24">
        <f>AVERAGE(C3:C106)</f>
        <v>4.1880012814911475E-3</v>
      </c>
      <c r="O14" s="24">
        <f>STDEV(C3:C106)</f>
        <v>3.4665282862466139E-2</v>
      </c>
      <c r="P14" s="25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5">
        <v>42457</v>
      </c>
      <c r="B15" s="1">
        <v>156.091339</v>
      </c>
      <c r="C15" s="1">
        <f t="shared" si="0"/>
        <v>4.4575178619886247E-2</v>
      </c>
      <c r="D15" s="1">
        <v>129.775803</v>
      </c>
      <c r="E15" s="1">
        <f t="shared" si="1"/>
        <v>3.3650259042183439E-2</v>
      </c>
      <c r="F15" s="1">
        <v>19.360614999999999</v>
      </c>
      <c r="G15" s="1">
        <f t="shared" si="2"/>
        <v>3.5566957841086877E-2</v>
      </c>
      <c r="H15" s="1">
        <v>111.83004</v>
      </c>
      <c r="I15" s="1">
        <f t="shared" si="3"/>
        <v>8.3128935077612098E-3</v>
      </c>
      <c r="J15" s="1">
        <v>124.67778800000001</v>
      </c>
      <c r="K15" s="1">
        <f t="shared" si="4"/>
        <v>8.8001248060334269E-3</v>
      </c>
      <c r="L15" s="1"/>
      <c r="M15" s="12" t="s">
        <v>3</v>
      </c>
      <c r="N15" s="24">
        <f>AVERAGE(E3:E106)</f>
        <v>4.1640676299799662E-3</v>
      </c>
      <c r="O15" s="24">
        <f>STDEV(E3:E106)</f>
        <v>2.3545589010355208E-2</v>
      </c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5">
        <v>42464</v>
      </c>
      <c r="B16" s="1">
        <v>146.77392599999999</v>
      </c>
      <c r="C16" s="1">
        <f t="shared" si="0"/>
        <v>-5.9692056328634724E-2</v>
      </c>
      <c r="D16" s="1">
        <v>128.592072</v>
      </c>
      <c r="E16" s="1">
        <f t="shared" si="1"/>
        <v>-9.1213536933383299E-3</v>
      </c>
      <c r="F16" s="1">
        <v>19.013683</v>
      </c>
      <c r="G16" s="1">
        <f t="shared" si="2"/>
        <v>-1.791947208288569E-2</v>
      </c>
      <c r="H16" s="1">
        <v>112.464119</v>
      </c>
      <c r="I16" s="1">
        <f t="shared" si="3"/>
        <v>5.6700239041316269E-3</v>
      </c>
      <c r="J16" s="1">
        <v>126.207634</v>
      </c>
      <c r="K16" s="1">
        <f t="shared" si="4"/>
        <v>1.2270397354178231E-2</v>
      </c>
      <c r="L16" s="1"/>
      <c r="M16" s="12" t="s">
        <v>4</v>
      </c>
      <c r="N16" s="24">
        <f>AVERAGE(G3:G106)</f>
        <v>2.165530346985169E-3</v>
      </c>
      <c r="O16" s="24">
        <f>STDEV(G3:G106)</f>
        <v>3.7509906777224385E-2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5">
        <v>42471</v>
      </c>
      <c r="B17" s="1">
        <v>154.82165499999999</v>
      </c>
      <c r="C17" s="1">
        <f t="shared" si="0"/>
        <v>5.48307810475821E-2</v>
      </c>
      <c r="D17" s="1">
        <v>129.92979399999999</v>
      </c>
      <c r="E17" s="1">
        <f t="shared" si="1"/>
        <v>1.0402834165390784E-2</v>
      </c>
      <c r="F17" s="1">
        <v>19.562988000000001</v>
      </c>
      <c r="G17" s="1">
        <f t="shared" si="2"/>
        <v>2.8889984123538826E-2</v>
      </c>
      <c r="H17" s="1">
        <v>112.794296</v>
      </c>
      <c r="I17" s="1">
        <f t="shared" si="3"/>
        <v>2.9358430309671668E-3</v>
      </c>
      <c r="J17" s="1">
        <v>126.083389</v>
      </c>
      <c r="K17" s="1">
        <f t="shared" si="4"/>
        <v>-9.8444916572959507E-4</v>
      </c>
      <c r="L17" s="1"/>
      <c r="M17" s="12" t="s">
        <v>5</v>
      </c>
      <c r="N17" s="24">
        <f>AVERAGE(I3:I106)</f>
        <v>1.2583448595402135E-3</v>
      </c>
      <c r="O17" s="24">
        <f>STDEV(I3:I106)</f>
        <v>6.8537700749458103E-3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5">
        <v>42478</v>
      </c>
      <c r="B18" s="1">
        <v>162.85964999999999</v>
      </c>
      <c r="C18" s="1">
        <f t="shared" si="0"/>
        <v>5.191776951357352E-2</v>
      </c>
      <c r="D18" s="1">
        <v>130.55529799999999</v>
      </c>
      <c r="E18" s="1">
        <f t="shared" si="1"/>
        <v>4.8141691042780099E-3</v>
      </c>
      <c r="F18" s="1">
        <v>18.724577</v>
      </c>
      <c r="G18" s="1">
        <f t="shared" si="2"/>
        <v>-4.2857001190206745E-2</v>
      </c>
      <c r="H18" s="1">
        <v>112.88865699999999</v>
      </c>
      <c r="I18" s="1">
        <f t="shared" si="3"/>
        <v>8.3657599139574934E-4</v>
      </c>
      <c r="J18" s="1">
        <v>122.718063</v>
      </c>
      <c r="K18" s="1">
        <f t="shared" si="4"/>
        <v>-2.6691271758248813E-2</v>
      </c>
      <c r="L18" s="1"/>
      <c r="M18" s="12" t="s">
        <v>6</v>
      </c>
      <c r="N18" s="24">
        <f>AVERAGE(K3:K106)</f>
        <v>1.0878990106872855E-3</v>
      </c>
      <c r="O18" s="24">
        <f>STDEV(K3:K106)</f>
        <v>1.6167071138642821E-2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5">
        <v>42485</v>
      </c>
      <c r="B19" s="1">
        <v>160.28125</v>
      </c>
      <c r="C19" s="1">
        <f t="shared" si="0"/>
        <v>-1.5832036971711427E-2</v>
      </c>
      <c r="D19" s="1">
        <v>128.851913</v>
      </c>
      <c r="E19" s="1">
        <f t="shared" si="1"/>
        <v>-1.3047229994450293E-2</v>
      </c>
      <c r="F19" s="1">
        <v>18.618569999999998</v>
      </c>
      <c r="G19" s="1">
        <f t="shared" si="2"/>
        <v>-5.6613828979955594E-3</v>
      </c>
      <c r="H19" s="1">
        <v>113.52074399999999</v>
      </c>
      <c r="I19" s="1">
        <f t="shared" si="3"/>
        <v>5.5992073676631726E-3</v>
      </c>
      <c r="J19" s="1">
        <v>123.69326</v>
      </c>
      <c r="K19" s="1">
        <f t="shared" si="4"/>
        <v>7.9466459636019504E-3</v>
      </c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5">
        <v>42492</v>
      </c>
      <c r="B20" s="1">
        <v>155.14399700000001</v>
      </c>
      <c r="C20" s="1">
        <f t="shared" si="0"/>
        <v>-3.2051490738935429E-2</v>
      </c>
      <c r="D20" s="1">
        <v>130.593796</v>
      </c>
      <c r="E20" s="1">
        <f t="shared" si="1"/>
        <v>1.3518487692146364E-2</v>
      </c>
      <c r="F20" s="1">
        <v>18.211528999999999</v>
      </c>
      <c r="G20" s="1">
        <f t="shared" si="2"/>
        <v>-2.1862097894736254E-2</v>
      </c>
      <c r="H20" s="1">
        <v>113.05847900000001</v>
      </c>
      <c r="I20" s="1">
        <f t="shared" si="3"/>
        <v>-4.0720751442572256E-3</v>
      </c>
      <c r="J20" s="1">
        <v>124.71618700000001</v>
      </c>
      <c r="K20" s="1">
        <f t="shared" si="4"/>
        <v>8.2698685441713327E-3</v>
      </c>
      <c r="L20" s="1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5">
        <v>42499</v>
      </c>
      <c r="B21" s="1">
        <v>151.71586600000001</v>
      </c>
      <c r="C21" s="1">
        <f t="shared" si="0"/>
        <v>-2.2096446309811224E-2</v>
      </c>
      <c r="D21" s="1">
        <v>128.120529</v>
      </c>
      <c r="E21" s="1">
        <f t="shared" si="1"/>
        <v>-1.8938625537770482E-2</v>
      </c>
      <c r="F21" s="1">
        <v>17.988844</v>
      </c>
      <c r="G21" s="1">
        <f t="shared" si="2"/>
        <v>-1.2227693786721505E-2</v>
      </c>
      <c r="H21" s="1">
        <v>113.534927</v>
      </c>
      <c r="I21" s="1">
        <f t="shared" si="3"/>
        <v>4.2141730917855114E-3</v>
      </c>
      <c r="J21" s="1">
        <v>126.72041299999999</v>
      </c>
      <c r="K21" s="1">
        <f t="shared" si="4"/>
        <v>1.6070295670601142E-2</v>
      </c>
      <c r="L21" s="1"/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5">
        <v>42506</v>
      </c>
      <c r="B22" s="1">
        <v>150.90522799999999</v>
      </c>
      <c r="C22" s="1">
        <f t="shared" si="0"/>
        <v>-5.3431326688008207E-3</v>
      </c>
      <c r="D22" s="1">
        <v>126.888687</v>
      </c>
      <c r="E22" s="1">
        <f t="shared" si="1"/>
        <v>-9.6147120966071364E-3</v>
      </c>
      <c r="F22" s="1">
        <v>17.930758000000001</v>
      </c>
      <c r="G22" s="1">
        <f t="shared" si="2"/>
        <v>-3.2290012632273379E-3</v>
      </c>
      <c r="H22" s="1">
        <v>112.494377</v>
      </c>
      <c r="I22" s="1">
        <f t="shared" si="3"/>
        <v>-9.1650210864185899E-3</v>
      </c>
      <c r="J22" s="1">
        <v>124.679939</v>
      </c>
      <c r="K22" s="1">
        <f t="shared" si="4"/>
        <v>-1.6102172899325917E-2</v>
      </c>
      <c r="L22" s="1"/>
      <c r="M22" s="12" t="s">
        <v>19</v>
      </c>
      <c r="N22" s="12" t="s">
        <v>1</v>
      </c>
      <c r="O22" s="26">
        <f>MAX(N14:N18)</f>
        <v>4.1880012814911475E-3</v>
      </c>
      <c r="Q22" s="16" t="s">
        <v>8</v>
      </c>
      <c r="R22" s="16" t="s">
        <v>9</v>
      </c>
      <c r="S22" s="16" t="s">
        <v>10</v>
      </c>
      <c r="T22" s="16" t="s">
        <v>11</v>
      </c>
      <c r="U22" s="16" t="s">
        <v>12</v>
      </c>
      <c r="V22" s="3"/>
      <c r="W22" s="3" t="s">
        <v>25</v>
      </c>
      <c r="X22" s="3" t="s">
        <v>17</v>
      </c>
      <c r="Y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5">
        <v>42513</v>
      </c>
      <c r="B23" s="1">
        <v>155.808121</v>
      </c>
      <c r="C23" s="1">
        <f t="shared" si="0"/>
        <v>3.2489881662681741E-2</v>
      </c>
      <c r="D23" s="1">
        <v>128.900024</v>
      </c>
      <c r="E23" s="1">
        <f t="shared" si="1"/>
        <v>1.5851192470767606E-2</v>
      </c>
      <c r="F23" s="1">
        <v>18.598801000000002</v>
      </c>
      <c r="G23" s="1">
        <f t="shared" si="2"/>
        <v>3.7256818702254613E-2</v>
      </c>
      <c r="H23" s="1">
        <v>112.74031100000001</v>
      </c>
      <c r="I23" s="1">
        <f t="shared" si="3"/>
        <v>2.1861892705978825E-3</v>
      </c>
      <c r="J23" s="1">
        <v>124.39254800000001</v>
      </c>
      <c r="K23" s="1">
        <f t="shared" si="4"/>
        <v>-2.3050300016589365E-3</v>
      </c>
      <c r="L23" s="1"/>
      <c r="M23" s="12" t="s">
        <v>20</v>
      </c>
      <c r="N23" s="12" t="s">
        <v>6</v>
      </c>
      <c r="O23" s="26">
        <f>MIN(N14:N18)</f>
        <v>1.0878990106872855E-3</v>
      </c>
      <c r="Q23" s="27">
        <v>0.37268023777052789</v>
      </c>
      <c r="R23" s="17">
        <v>0.70713734554800667</v>
      </c>
      <c r="S23" s="18">
        <v>-7.2230432236945516E-2</v>
      </c>
      <c r="T23" s="18">
        <v>-0.89577139682551876</v>
      </c>
      <c r="U23" s="18">
        <f>1 - SUM(Q23:T23)</f>
        <v>0.88818424574392973</v>
      </c>
      <c r="V23" s="18"/>
      <c r="W23" s="18">
        <v>4.1880012814911475E-3</v>
      </c>
      <c r="X23" s="18">
        <f t="array" ref="X23">SQRT(MMULT(MMULT(weights1, vcv), TRANSPOSE(weights1)))</f>
        <v>2.0880557917978146E-2</v>
      </c>
      <c r="Y23" s="18">
        <f>MMULT(weights1, rets)</f>
        <v>4.1880012806651537E-3</v>
      </c>
      <c r="Z23" s="3"/>
      <c r="AA23" s="3"/>
      <c r="AB23" s="3"/>
      <c r="AC23" s="3"/>
      <c r="AD23" s="3"/>
      <c r="AE23" s="3"/>
    </row>
    <row r="24" spans="1:31" x14ac:dyDescent="0.2">
      <c r="A24" s="5">
        <v>42520</v>
      </c>
      <c r="B24" s="1">
        <v>152.66137699999999</v>
      </c>
      <c r="C24" s="1">
        <f t="shared" si="0"/>
        <v>-2.0196277188915035E-2</v>
      </c>
      <c r="D24" s="1">
        <v>126.782822</v>
      </c>
      <c r="E24" s="1">
        <f t="shared" si="1"/>
        <v>-1.6425148221849928E-2</v>
      </c>
      <c r="F24" s="1">
        <v>18.724663</v>
      </c>
      <c r="G24" s="1">
        <f t="shared" si="2"/>
        <v>6.7672104239406838E-3</v>
      </c>
      <c r="H24" s="1">
        <v>113.83764600000001</v>
      </c>
      <c r="I24" s="1">
        <f t="shared" si="3"/>
        <v>9.7332976134862914E-3</v>
      </c>
      <c r="J24" s="1">
        <v>127.63046300000001</v>
      </c>
      <c r="K24" s="1">
        <f t="shared" si="4"/>
        <v>2.6029814904989346E-2</v>
      </c>
      <c r="L24" s="1"/>
      <c r="M24" s="12" t="s">
        <v>21</v>
      </c>
      <c r="N24" s="12" t="s">
        <v>4</v>
      </c>
      <c r="O24" s="26">
        <f>MAX(O14:O18)</f>
        <v>3.7509906777224385E-2</v>
      </c>
      <c r="S24" s="3"/>
      <c r="T24" s="3"/>
      <c r="U24" s="3"/>
      <c r="V24" s="3"/>
      <c r="W24" s="3"/>
      <c r="X24" s="3"/>
      <c r="Y24" s="3">
        <f>MMULT(weights1, rets)</f>
        <v>4.1880012806651537E-3</v>
      </c>
      <c r="Z24" s="3"/>
      <c r="AA24" s="3"/>
      <c r="AB24" s="3"/>
      <c r="AC24" s="3"/>
      <c r="AD24" s="3"/>
      <c r="AE24" s="3"/>
    </row>
    <row r="25" spans="1:31" x14ac:dyDescent="0.2">
      <c r="A25" s="5">
        <v>42527</v>
      </c>
      <c r="B25" s="1">
        <v>146.99310299999999</v>
      </c>
      <c r="C25" s="1">
        <f t="shared" si="0"/>
        <v>-3.7129718802418443E-2</v>
      </c>
      <c r="D25" s="1">
        <v>124.62432099999999</v>
      </c>
      <c r="E25" s="1">
        <f t="shared" si="1"/>
        <v>-1.7025185004952759E-2</v>
      </c>
      <c r="F25" s="1">
        <v>18.230889999999999</v>
      </c>
      <c r="G25" s="1">
        <f t="shared" si="2"/>
        <v>-2.6370194219249798E-2</v>
      </c>
      <c r="H25" s="1">
        <v>114.726173</v>
      </c>
      <c r="I25" s="1">
        <f t="shared" si="3"/>
        <v>7.8052123460106149E-3</v>
      </c>
      <c r="J25" s="1">
        <v>129.38073700000001</v>
      </c>
      <c r="K25" s="1">
        <f t="shared" si="4"/>
        <v>1.3713606915302101E-2</v>
      </c>
      <c r="L25" s="1"/>
      <c r="M25" s="12" t="s">
        <v>22</v>
      </c>
      <c r="N25" s="12" t="s">
        <v>5</v>
      </c>
      <c r="O25" s="26">
        <f>MIN(O14:O18)</f>
        <v>6.8537700749458103E-3</v>
      </c>
      <c r="S25" s="3"/>
      <c r="T25" s="3"/>
      <c r="U25" s="3">
        <f>SUM(weights1)</f>
        <v>1</v>
      </c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5">
        <v>42534</v>
      </c>
      <c r="B26" s="1">
        <v>142.82522599999999</v>
      </c>
      <c r="C26" s="1">
        <f t="shared" si="0"/>
        <v>-2.8354235096322844E-2</v>
      </c>
      <c r="D26" s="1">
        <v>122.98949399999999</v>
      </c>
      <c r="E26" s="1">
        <f t="shared" si="1"/>
        <v>-1.3118041381344869E-2</v>
      </c>
      <c r="F26" s="1">
        <v>17.911391999999999</v>
      </c>
      <c r="G26" s="1">
        <f t="shared" si="2"/>
        <v>-1.7525090656572373E-2</v>
      </c>
      <c r="H26" s="1">
        <v>114.55542</v>
      </c>
      <c r="I26" s="1">
        <f t="shared" si="3"/>
        <v>-1.4883526185432983E-3</v>
      </c>
      <c r="J26" s="1">
        <v>130.17747499999999</v>
      </c>
      <c r="K26" s="1">
        <f t="shared" si="4"/>
        <v>6.1580882786282931E-3</v>
      </c>
      <c r="L26" s="1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5">
        <v>42541</v>
      </c>
      <c r="B27" s="1">
        <v>139.118301</v>
      </c>
      <c r="C27" s="1">
        <f t="shared" si="0"/>
        <v>-2.5954273651910609E-2</v>
      </c>
      <c r="D27" s="1">
        <v>122.27365899999999</v>
      </c>
      <c r="E27" s="1">
        <f t="shared" si="1"/>
        <v>-5.8202938862403908E-3</v>
      </c>
      <c r="F27" s="1">
        <v>17.233664999999998</v>
      </c>
      <c r="G27" s="1">
        <f t="shared" si="2"/>
        <v>-3.7837762693150867E-2</v>
      </c>
      <c r="H27" s="1">
        <v>114.944366</v>
      </c>
      <c r="I27" s="1">
        <f t="shared" si="3"/>
        <v>3.3952649294115567E-3</v>
      </c>
      <c r="J27" s="1">
        <v>130.34065200000001</v>
      </c>
      <c r="K27" s="1">
        <f t="shared" si="4"/>
        <v>1.2534964286257111E-3</v>
      </c>
      <c r="L27" s="1"/>
      <c r="M27" s="12" t="s">
        <v>8</v>
      </c>
      <c r="N27" s="12">
        <v>0.2</v>
      </c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5">
        <v>42548</v>
      </c>
      <c r="B28" s="1">
        <v>145.38479599999999</v>
      </c>
      <c r="C28" s="1">
        <f t="shared" si="0"/>
        <v>4.5044361201622252E-2</v>
      </c>
      <c r="D28" s="1">
        <v>125.388527</v>
      </c>
      <c r="E28" s="1">
        <f t="shared" si="1"/>
        <v>2.5474562759261188E-2</v>
      </c>
      <c r="F28" s="1">
        <v>18.182483999999999</v>
      </c>
      <c r="G28" s="1">
        <f t="shared" si="2"/>
        <v>5.505613576682622E-2</v>
      </c>
      <c r="H28" s="1">
        <v>116.727768</v>
      </c>
      <c r="I28" s="1">
        <f t="shared" si="3"/>
        <v>1.5515349399552125E-2</v>
      </c>
      <c r="J28" s="1">
        <v>134.938782</v>
      </c>
      <c r="K28" s="1">
        <f t="shared" si="4"/>
        <v>3.527778885132471E-2</v>
      </c>
      <c r="L28" s="1"/>
      <c r="M28" s="12" t="s">
        <v>9</v>
      </c>
      <c r="N28" s="12">
        <v>0.4</v>
      </c>
      <c r="R28" s="7" t="s">
        <v>49</v>
      </c>
      <c r="S28" s="55">
        <f>MIN(T38:T67)</f>
        <v>5.8011178167098141E-3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5">
        <v>42555</v>
      </c>
      <c r="B29" s="1">
        <v>147.47363300000001</v>
      </c>
      <c r="C29" s="1">
        <f t="shared" si="0"/>
        <v>1.4367644055434781E-2</v>
      </c>
      <c r="D29" s="1">
        <v>129.95443700000001</v>
      </c>
      <c r="E29" s="1">
        <f t="shared" si="1"/>
        <v>3.6414097120704092E-2</v>
      </c>
      <c r="F29" s="1">
        <v>18.734348000000001</v>
      </c>
      <c r="G29" s="1">
        <f t="shared" si="2"/>
        <v>3.0351408531419599E-2</v>
      </c>
      <c r="H29" s="1">
        <v>118.32749200000001</v>
      </c>
      <c r="I29" s="1">
        <f t="shared" si="3"/>
        <v>1.3704742473958698E-2</v>
      </c>
      <c r="J29" s="1">
        <v>138.10095200000001</v>
      </c>
      <c r="K29" s="1">
        <f t="shared" si="4"/>
        <v>2.3434108068353554E-2</v>
      </c>
      <c r="L29" s="1"/>
      <c r="M29" s="12" t="s">
        <v>10</v>
      </c>
      <c r="N29" s="12">
        <v>-0.3</v>
      </c>
      <c r="R29" s="7" t="s">
        <v>50</v>
      </c>
      <c r="S29" s="55">
        <f>MAX(T38:T67)</f>
        <v>2.0880557917978146E-2</v>
      </c>
      <c r="T29" s="7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5">
        <v>42562</v>
      </c>
      <c r="B30" s="1">
        <v>158.51602199999999</v>
      </c>
      <c r="C30" s="1">
        <f t="shared" si="0"/>
        <v>7.4877039206052487E-2</v>
      </c>
      <c r="D30" s="1">
        <v>130.380066</v>
      </c>
      <c r="E30" s="1">
        <f t="shared" si="1"/>
        <v>3.275217143990039E-3</v>
      </c>
      <c r="F30" s="1">
        <v>17.475709999999999</v>
      </c>
      <c r="G30" s="1">
        <f t="shared" si="2"/>
        <v>-6.7183442946613381E-2</v>
      </c>
      <c r="H30" s="1">
        <v>117.081459</v>
      </c>
      <c r="I30" s="1">
        <f t="shared" si="3"/>
        <v>-1.0530376152990795E-2</v>
      </c>
      <c r="J30" s="1">
        <v>133.09046900000001</v>
      </c>
      <c r="K30" s="1">
        <f t="shared" si="4"/>
        <v>-3.6281306735669649E-2</v>
      </c>
      <c r="L30" s="1"/>
      <c r="M30" s="12" t="s">
        <v>11</v>
      </c>
      <c r="N30" s="12">
        <v>0.1</v>
      </c>
      <c r="S30" s="55">
        <f>S29-S28</f>
        <v>1.5079440101268332E-2</v>
      </c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5">
        <v>42569</v>
      </c>
      <c r="B31" s="1">
        <v>157.309799</v>
      </c>
      <c r="C31" s="1">
        <f t="shared" si="0"/>
        <v>-7.6094705429838871E-3</v>
      </c>
      <c r="D31" s="1">
        <v>132.063278</v>
      </c>
      <c r="E31" s="1">
        <f t="shared" si="1"/>
        <v>1.2910041018080243E-2</v>
      </c>
      <c r="F31" s="1">
        <v>17.417615999999999</v>
      </c>
      <c r="G31" s="1">
        <f t="shared" si="2"/>
        <v>-3.3242712313262812E-3</v>
      </c>
      <c r="H31" s="1">
        <v>117.31922900000001</v>
      </c>
      <c r="I31" s="1">
        <f t="shared" si="3"/>
        <v>2.0308083109898956E-3</v>
      </c>
      <c r="J31" s="1">
        <v>133.48474100000001</v>
      </c>
      <c r="K31" s="1">
        <f t="shared" si="4"/>
        <v>2.9624360253774906E-3</v>
      </c>
      <c r="L31" s="1"/>
      <c r="M31" s="12" t="s">
        <v>12</v>
      </c>
      <c r="N31" s="12">
        <f>1-SUM(N27:N30)</f>
        <v>0.59999999999999987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5">
        <v>42576</v>
      </c>
      <c r="B32" s="1">
        <v>155.74067700000001</v>
      </c>
      <c r="C32" s="1">
        <f t="shared" si="0"/>
        <v>-9.9747250964321577E-3</v>
      </c>
      <c r="D32" s="1">
        <v>133.727158</v>
      </c>
      <c r="E32" s="1">
        <f t="shared" si="1"/>
        <v>1.2599111768223814E-2</v>
      </c>
      <c r="F32" s="1">
        <v>17.620937000000001</v>
      </c>
      <c r="G32" s="1">
        <f t="shared" si="2"/>
        <v>1.1673296735902561E-2</v>
      </c>
      <c r="H32" s="1">
        <v>117.937515</v>
      </c>
      <c r="I32" s="1">
        <f t="shared" si="3"/>
        <v>5.2701164614710194E-3</v>
      </c>
      <c r="J32" s="1">
        <v>136.13909899999999</v>
      </c>
      <c r="K32" s="1">
        <f t="shared" si="4"/>
        <v>1.9885104320650271E-2</v>
      </c>
      <c r="L32" s="1"/>
      <c r="S32" s="3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5">
        <v>42583</v>
      </c>
      <c r="B33" s="1">
        <v>158.95732100000001</v>
      </c>
      <c r="C33" s="1">
        <f t="shared" si="0"/>
        <v>2.0653846265224596E-2</v>
      </c>
      <c r="D33" s="1">
        <v>132.44056699999999</v>
      </c>
      <c r="E33" s="1">
        <f t="shared" si="1"/>
        <v>-9.6210150521557347E-3</v>
      </c>
      <c r="F33" s="1">
        <v>17.456983999999999</v>
      </c>
      <c r="G33" s="1">
        <f t="shared" si="2"/>
        <v>-9.3044427773620875E-3</v>
      </c>
      <c r="H33" s="1">
        <v>116.482208</v>
      </c>
      <c r="I33" s="1">
        <f t="shared" si="3"/>
        <v>-1.2339644429510077E-2</v>
      </c>
      <c r="J33" s="1">
        <v>132.71539300000001</v>
      </c>
      <c r="K33" s="1">
        <f t="shared" si="4"/>
        <v>-2.514858718140911E-2</v>
      </c>
      <c r="L33" s="1"/>
      <c r="M33" s="23" t="s">
        <v>13</v>
      </c>
      <c r="N33" s="24">
        <f>SUMPRODUCT(N14:N18, N27:N31)</f>
        <v>2.6321420965610578E-3</v>
      </c>
      <c r="S33" s="3"/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5">
        <v>42590</v>
      </c>
      <c r="B34" s="1">
        <v>160.09487899999999</v>
      </c>
      <c r="C34" s="1">
        <f t="shared" si="0"/>
        <v>7.1563737539335204E-3</v>
      </c>
      <c r="D34" s="1">
        <v>132.111649</v>
      </c>
      <c r="E34" s="1">
        <f t="shared" si="1"/>
        <v>-2.4835139825397645E-3</v>
      </c>
      <c r="F34" s="1">
        <v>17.719711</v>
      </c>
      <c r="G34" s="1">
        <f t="shared" si="2"/>
        <v>1.5049965102792218E-2</v>
      </c>
      <c r="H34" s="1">
        <v>118.026207</v>
      </c>
      <c r="I34" s="1">
        <f t="shared" si="3"/>
        <v>1.3255234653518855E-2</v>
      </c>
      <c r="J34" s="1">
        <v>134.96170000000001</v>
      </c>
      <c r="K34" s="1">
        <f t="shared" si="4"/>
        <v>1.6925745757313981E-2</v>
      </c>
      <c r="L34" s="1"/>
      <c r="M34" s="23" t="s">
        <v>14</v>
      </c>
      <c r="N34" s="24">
        <f t="array" ref="N34">SQRT(MMULT(MMULT(TRANSPOSE(N27:N31), N4:R8), N27:N31))</f>
        <v>1.5132953691604516E-2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5">
        <v>42597</v>
      </c>
      <c r="B35" s="1">
        <v>163.01728800000001</v>
      </c>
      <c r="C35" s="1">
        <f t="shared" si="0"/>
        <v>1.8254231604747373E-2</v>
      </c>
      <c r="D35" s="1">
        <v>131.037903</v>
      </c>
      <c r="E35" s="1">
        <f t="shared" si="1"/>
        <v>-8.1275648902089381E-3</v>
      </c>
      <c r="F35" s="1">
        <v>17.622408</v>
      </c>
      <c r="G35" s="1">
        <f t="shared" si="2"/>
        <v>-5.4912295127160782E-3</v>
      </c>
      <c r="H35" s="1">
        <v>117.71151</v>
      </c>
      <c r="I35" s="1">
        <f t="shared" si="3"/>
        <v>-2.6663315546520128E-3</v>
      </c>
      <c r="J35" s="1">
        <v>133.64179999999999</v>
      </c>
      <c r="K35" s="1">
        <f t="shared" si="4"/>
        <v>-9.7798116058113171E-3</v>
      </c>
      <c r="L35" s="1"/>
      <c r="N35" s="28">
        <v>1.7847372647782501E-4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5">
        <v>42604</v>
      </c>
      <c r="B36" s="1">
        <v>162.76232899999999</v>
      </c>
      <c r="C36" s="1">
        <f t="shared" si="0"/>
        <v>-1.5639997642459269E-3</v>
      </c>
      <c r="D36" s="1">
        <v>129.97380100000001</v>
      </c>
      <c r="E36" s="1">
        <f t="shared" si="1"/>
        <v>-8.120566459309031E-3</v>
      </c>
      <c r="F36" s="1">
        <v>17.982443</v>
      </c>
      <c r="G36" s="1">
        <f t="shared" si="2"/>
        <v>2.0430522321353672E-2</v>
      </c>
      <c r="H36" s="1">
        <v>117.682877</v>
      </c>
      <c r="I36" s="1">
        <f t="shared" si="3"/>
        <v>-2.43247240647948E-4</v>
      </c>
      <c r="J36" s="1">
        <v>133.304596</v>
      </c>
      <c r="K36" s="1">
        <f t="shared" si="4"/>
        <v>-2.523192593933854E-3</v>
      </c>
      <c r="L36" s="1"/>
      <c r="R36" s="8" t="s">
        <v>23</v>
      </c>
      <c r="S36" s="19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5">
        <v>42611</v>
      </c>
      <c r="B37" s="1">
        <v>165.91029399999999</v>
      </c>
      <c r="C37" s="1">
        <f t="shared" si="0"/>
        <v>1.9340869716849562E-2</v>
      </c>
      <c r="D37" s="1">
        <v>130.73799099999999</v>
      </c>
      <c r="E37" s="1">
        <f t="shared" si="1"/>
        <v>5.8795695295545958E-3</v>
      </c>
      <c r="F37" s="1">
        <v>18.323018999999999</v>
      </c>
      <c r="G37" s="1">
        <f t="shared" si="2"/>
        <v>1.8939362132275317E-2</v>
      </c>
      <c r="H37" s="1">
        <v>117.635201</v>
      </c>
      <c r="I37" s="1">
        <f t="shared" si="3"/>
        <v>-4.0512265858361207E-4</v>
      </c>
      <c r="J37" s="1">
        <v>133.564697</v>
      </c>
      <c r="K37" s="1">
        <f t="shared" si="4"/>
        <v>1.9511780374024124E-3</v>
      </c>
      <c r="L37" s="1"/>
      <c r="M37" s="15" t="s">
        <v>30</v>
      </c>
      <c r="N37" s="30" t="s">
        <v>31</v>
      </c>
      <c r="O37" s="30" t="s">
        <v>32</v>
      </c>
      <c r="P37" s="31" t="s">
        <v>34</v>
      </c>
      <c r="Q37" s="30" t="s">
        <v>33</v>
      </c>
      <c r="R37" s="13"/>
      <c r="S37" s="14" t="s">
        <v>18</v>
      </c>
      <c r="T37" s="15" t="s">
        <v>17</v>
      </c>
      <c r="U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5">
        <v>42618</v>
      </c>
      <c r="B38" s="1">
        <v>165.95854199999999</v>
      </c>
      <c r="C38" s="1">
        <f t="shared" si="0"/>
        <v>2.9080775421919114E-4</v>
      </c>
      <c r="D38" s="1">
        <v>124.203598</v>
      </c>
      <c r="E38" s="1">
        <f t="shared" si="1"/>
        <v>-4.9980827684586338E-2</v>
      </c>
      <c r="F38" s="1">
        <v>17.865673000000001</v>
      </c>
      <c r="G38" s="1">
        <f t="shared" si="2"/>
        <v>-2.4960188056345811E-2</v>
      </c>
      <c r="H38" s="1">
        <v>116.47674600000001</v>
      </c>
      <c r="I38" s="1">
        <f t="shared" si="3"/>
        <v>-9.8478600805892436E-3</v>
      </c>
      <c r="J38" s="1">
        <v>130.80587800000001</v>
      </c>
      <c r="K38" s="1">
        <f t="shared" si="4"/>
        <v>-2.0655300853937408E-2</v>
      </c>
      <c r="L38" s="1"/>
      <c r="M38" s="32">
        <v>2.8158940254243477E-2</v>
      </c>
      <c r="N38" s="32">
        <v>-0.10612326436878827</v>
      </c>
      <c r="O38" s="32">
        <v>7.8164565554652843E-3</v>
      </c>
      <c r="P38" s="32">
        <v>1.3537097579303687</v>
      </c>
      <c r="Q38" s="32">
        <v>-0.28356189037128932</v>
      </c>
      <c r="R38" s="11"/>
      <c r="S38" s="33">
        <v>1.0878990106872855E-3</v>
      </c>
      <c r="T38" s="34">
        <v>6.1831268094118151E-3</v>
      </c>
      <c r="U38" s="34">
        <v>1.0878990169986419E-3</v>
      </c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5">
        <v>42625</v>
      </c>
      <c r="B39" s="1">
        <v>163.42832899999999</v>
      </c>
      <c r="C39" s="1">
        <f t="shared" si="0"/>
        <v>-1.5246054644177387E-2</v>
      </c>
      <c r="D39" s="1">
        <v>122.61872099999999</v>
      </c>
      <c r="E39" s="1">
        <f t="shared" si="1"/>
        <v>-1.2760314721317556E-2</v>
      </c>
      <c r="F39" s="1">
        <v>17.671059</v>
      </c>
      <c r="G39" s="1">
        <f t="shared" si="2"/>
        <v>-1.0893180458413254E-2</v>
      </c>
      <c r="H39" s="1">
        <v>116.390686</v>
      </c>
      <c r="I39" s="1">
        <f t="shared" si="3"/>
        <v>-7.3885992659861177E-4</v>
      </c>
      <c r="J39" s="1">
        <v>130.06265300000001</v>
      </c>
      <c r="K39" s="1">
        <f t="shared" si="4"/>
        <v>-5.6818929803750251E-3</v>
      </c>
      <c r="L39" s="1"/>
      <c r="M39" s="32">
        <v>4.0038342609505964E-2</v>
      </c>
      <c r="N39" s="32">
        <v>-7.8079199592120771E-2</v>
      </c>
      <c r="O39" s="32">
        <v>5.0559689554375937E-3</v>
      </c>
      <c r="P39" s="32">
        <v>1.2761439241442236</v>
      </c>
      <c r="Q39" s="32">
        <v>-0.24315903611704637</v>
      </c>
      <c r="R39" s="11"/>
      <c r="S39" s="33">
        <v>1.1947990889908671E-3</v>
      </c>
      <c r="T39" s="34">
        <v>5.9609191149020396E-3</v>
      </c>
      <c r="U39" s="34">
        <v>1.1947990889164639E-3</v>
      </c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5">
        <v>42632</v>
      </c>
      <c r="B40" s="1">
        <v>162.57179300000001</v>
      </c>
      <c r="C40" s="1">
        <f t="shared" si="0"/>
        <v>-5.2410497325710015E-3</v>
      </c>
      <c r="D40" s="1">
        <v>124.25221999999999</v>
      </c>
      <c r="E40" s="1">
        <f t="shared" si="1"/>
        <v>1.332177490254538E-2</v>
      </c>
      <c r="F40" s="1">
        <v>18.439786999999999</v>
      </c>
      <c r="G40" s="1">
        <f t="shared" si="2"/>
        <v>4.3502090055836495E-2</v>
      </c>
      <c r="H40" s="1">
        <v>117.49025</v>
      </c>
      <c r="I40" s="1">
        <f t="shared" si="3"/>
        <v>9.4471820537254114E-3</v>
      </c>
      <c r="J40" s="1">
        <v>132.06068400000001</v>
      </c>
      <c r="K40" s="1">
        <f t="shared" si="4"/>
        <v>1.5362065542365855E-2</v>
      </c>
      <c r="L40" s="1"/>
      <c r="M40" s="32">
        <v>5.1923591744794703E-2</v>
      </c>
      <c r="N40" s="32">
        <v>-5.0040393054950345E-2</v>
      </c>
      <c r="O40" s="32">
        <v>2.2974415219503812E-3</v>
      </c>
      <c r="P40" s="32">
        <v>1.1985542905384559</v>
      </c>
      <c r="Q40" s="32">
        <v>-0.20273493075025062</v>
      </c>
      <c r="R40" s="11"/>
      <c r="S40" s="33">
        <v>1.3016991672944484E-3</v>
      </c>
      <c r="T40" s="34">
        <v>5.8315115473772609E-3</v>
      </c>
      <c r="U40" s="34">
        <v>1.3016991669754182E-3</v>
      </c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5">
        <v>42639</v>
      </c>
      <c r="B41" s="1">
        <v>158.77160599999999</v>
      </c>
      <c r="C41" s="1">
        <f t="shared" si="0"/>
        <v>-2.3375438813054261E-2</v>
      </c>
      <c r="D41" s="1">
        <v>125.11758399999999</v>
      </c>
      <c r="E41" s="1">
        <f t="shared" si="1"/>
        <v>6.9645757637166739E-3</v>
      </c>
      <c r="F41" s="1">
        <v>18.624669999999998</v>
      </c>
      <c r="G41" s="1">
        <f t="shared" si="2"/>
        <v>1.0026308872222778E-2</v>
      </c>
      <c r="H41" s="1">
        <v>117.777107</v>
      </c>
      <c r="I41" s="1">
        <f t="shared" si="3"/>
        <v>2.4415387659826315E-3</v>
      </c>
      <c r="J41" s="1">
        <v>132.72662399999999</v>
      </c>
      <c r="K41" s="1">
        <f t="shared" si="4"/>
        <v>5.0426817416755476E-3</v>
      </c>
      <c r="L41" s="1"/>
      <c r="M41" s="32">
        <v>6.3799112466776442E-2</v>
      </c>
      <c r="N41" s="32">
        <v>-2.1992900835658958E-2</v>
      </c>
      <c r="O41" s="32">
        <v>-4.6430507045617928E-4</v>
      </c>
      <c r="P41" s="32">
        <v>1.1210051966322252</v>
      </c>
      <c r="Q41" s="32">
        <v>-0.16234710319288648</v>
      </c>
      <c r="R41" s="11"/>
      <c r="S41" s="33">
        <v>1.4085992455980297E-3</v>
      </c>
      <c r="T41" s="34">
        <v>5.8011178167098141E-3</v>
      </c>
      <c r="U41" s="34">
        <v>1.4085992453379376E-3</v>
      </c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5">
        <v>42646</v>
      </c>
      <c r="B42" s="1">
        <v>167.19897499999999</v>
      </c>
      <c r="C42" s="1">
        <f t="shared" si="0"/>
        <v>5.3078564941895223E-2</v>
      </c>
      <c r="D42" s="1">
        <v>124.757813</v>
      </c>
      <c r="E42" s="1">
        <f t="shared" si="1"/>
        <v>-2.8754631323443247E-3</v>
      </c>
      <c r="F42" s="1">
        <v>18.877672</v>
      </c>
      <c r="G42" s="1">
        <f t="shared" si="2"/>
        <v>1.3584240687217752E-2</v>
      </c>
      <c r="H42" s="1">
        <v>116.75404399999999</v>
      </c>
      <c r="I42" s="1">
        <f t="shared" si="3"/>
        <v>-8.6864334339610272E-3</v>
      </c>
      <c r="J42" s="1">
        <v>129.261551</v>
      </c>
      <c r="K42" s="1">
        <f t="shared" si="4"/>
        <v>-2.6106841985222173E-2</v>
      </c>
      <c r="L42" s="1"/>
      <c r="M42" s="32">
        <v>7.5681915736943314E-2</v>
      </c>
      <c r="N42" s="32">
        <v>6.047444514481904E-3</v>
      </c>
      <c r="O42" s="32">
        <v>-3.2236803148902875E-3</v>
      </c>
      <c r="P42" s="32">
        <v>1.0434376387853348</v>
      </c>
      <c r="Q42" s="32">
        <v>-0.1219433187218697</v>
      </c>
      <c r="R42" s="11"/>
      <c r="S42" s="33">
        <v>1.5154993239016113E-3</v>
      </c>
      <c r="T42" s="34">
        <v>5.8712758242838014E-3</v>
      </c>
      <c r="U42" s="34">
        <v>1.5154993237068619E-3</v>
      </c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5">
        <v>42653</v>
      </c>
      <c r="B43" s="1">
        <v>167.878311</v>
      </c>
      <c r="C43" s="1">
        <f t="shared" si="0"/>
        <v>4.0630392620528699E-3</v>
      </c>
      <c r="D43" s="1">
        <v>122.920151</v>
      </c>
      <c r="E43" s="1">
        <f t="shared" si="1"/>
        <v>-1.4729834996386137E-2</v>
      </c>
      <c r="F43" s="1">
        <v>17.583480999999999</v>
      </c>
      <c r="G43" s="1">
        <f t="shared" si="2"/>
        <v>-6.8556705509026816E-2</v>
      </c>
      <c r="H43" s="1">
        <v>116.59030199999999</v>
      </c>
      <c r="I43" s="1">
        <f t="shared" si="3"/>
        <v>-1.4024524923521575E-3</v>
      </c>
      <c r="J43" s="1">
        <v>127.241119</v>
      </c>
      <c r="K43" s="1">
        <f t="shared" si="4"/>
        <v>-1.5630572156758338E-2</v>
      </c>
      <c r="L43" s="1"/>
      <c r="M43" s="32">
        <v>8.7559000489131622E-2</v>
      </c>
      <c r="N43" s="32">
        <v>3.4094174048027427E-2</v>
      </c>
      <c r="O43" s="32">
        <v>-5.9849330781455582E-3</v>
      </c>
      <c r="P43" s="32">
        <v>0.96587074056757705</v>
      </c>
      <c r="Q43" s="32">
        <v>-8.1538982026590601E-2</v>
      </c>
      <c r="R43" s="11"/>
      <c r="S43" s="33">
        <v>1.6223994022051928E-3</v>
      </c>
      <c r="T43" s="34">
        <v>6.0384818047687049E-3</v>
      </c>
      <c r="U43" s="34">
        <v>1.6223994020677954E-3</v>
      </c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5">
        <v>42660</v>
      </c>
      <c r="B44" s="1">
        <v>171.96400499999999</v>
      </c>
      <c r="C44" s="1">
        <f t="shared" si="0"/>
        <v>2.433723555867795E-2</v>
      </c>
      <c r="D44" s="1">
        <v>123.09515399999999</v>
      </c>
      <c r="E44" s="1">
        <f t="shared" si="1"/>
        <v>1.4237128621814588E-3</v>
      </c>
      <c r="F44" s="1">
        <v>18.585751999999999</v>
      </c>
      <c r="G44" s="1">
        <f t="shared" si="2"/>
        <v>5.7000715614843322E-2</v>
      </c>
      <c r="H44" s="1">
        <v>117.443504</v>
      </c>
      <c r="I44" s="1">
        <f t="shared" si="3"/>
        <v>7.317949995532258E-3</v>
      </c>
      <c r="J44" s="1">
        <v>128.904312</v>
      </c>
      <c r="K44" s="1">
        <f t="shared" si="4"/>
        <v>1.3071191239681035E-2</v>
      </c>
      <c r="L44" s="1"/>
      <c r="M44" s="32">
        <v>9.9438935880563517E-2</v>
      </c>
      <c r="N44" s="32">
        <v>6.2137760912094907E-2</v>
      </c>
      <c r="O44" s="32">
        <v>-8.7452084161604073E-3</v>
      </c>
      <c r="P44" s="32">
        <v>0.88830253260207304</v>
      </c>
      <c r="Q44" s="32">
        <v>-4.1134020978571106E-2</v>
      </c>
      <c r="R44" s="11"/>
      <c r="S44" s="33">
        <v>1.7292994805087742E-3</v>
      </c>
      <c r="T44" s="34">
        <v>6.2950072324421654E-3</v>
      </c>
      <c r="U44" s="34">
        <v>1.7292994803836934E-3</v>
      </c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5">
        <v>42667</v>
      </c>
      <c r="B45" s="1">
        <v>174.395737</v>
      </c>
      <c r="C45" s="1">
        <f t="shared" si="0"/>
        <v>1.4140936063916421E-2</v>
      </c>
      <c r="D45" s="1">
        <v>120.15876799999999</v>
      </c>
      <c r="E45" s="1">
        <f t="shared" si="1"/>
        <v>-2.3854602757148347E-2</v>
      </c>
      <c r="F45" s="1">
        <v>17.564018000000001</v>
      </c>
      <c r="G45" s="1">
        <f t="shared" si="2"/>
        <v>-5.4974046785946529E-2</v>
      </c>
      <c r="H45" s="1">
        <v>115.871323</v>
      </c>
      <c r="I45" s="1">
        <f t="shared" si="3"/>
        <v>-1.3386700383190231E-2</v>
      </c>
      <c r="J45" s="1">
        <v>126.138817</v>
      </c>
      <c r="K45" s="1">
        <f t="shared" si="4"/>
        <v>-2.1453859510921602E-2</v>
      </c>
      <c r="L45" s="1"/>
      <c r="M45" s="32">
        <v>0.11131892875731422</v>
      </c>
      <c r="N45" s="32">
        <v>9.0181289744334495E-2</v>
      </c>
      <c r="O45" s="32">
        <v>-1.1505460190358401E-2</v>
      </c>
      <c r="P45" s="32">
        <v>0.81073417745597831</v>
      </c>
      <c r="Q45" s="32">
        <v>-7.2893576726862364E-4</v>
      </c>
      <c r="R45" s="11"/>
      <c r="S45" s="33">
        <v>1.8361995588123555E-3</v>
      </c>
      <c r="T45" s="34">
        <v>6.6304932279158619E-3</v>
      </c>
      <c r="U45" s="34">
        <v>1.8361995587010578E-3</v>
      </c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5">
        <v>42674</v>
      </c>
      <c r="B46" s="1">
        <v>173.19465600000001</v>
      </c>
      <c r="C46" s="1">
        <f t="shared" si="0"/>
        <v>-6.8871006864117401E-3</v>
      </c>
      <c r="D46" s="1">
        <v>117.56268300000001</v>
      </c>
      <c r="E46" s="1">
        <f t="shared" si="1"/>
        <v>-2.1605456207740015E-2</v>
      </c>
      <c r="F46" s="1">
        <v>17.418057999999998</v>
      </c>
      <c r="G46" s="1">
        <f t="shared" si="2"/>
        <v>-8.3101713970005209E-3</v>
      </c>
      <c r="H46" s="1">
        <v>115.81379699999999</v>
      </c>
      <c r="I46" s="1">
        <f t="shared" si="3"/>
        <v>-4.9646451348461795E-4</v>
      </c>
      <c r="J46" s="1">
        <v>127.386177</v>
      </c>
      <c r="K46" s="1">
        <f t="shared" si="4"/>
        <v>9.8887878423656872E-3</v>
      </c>
      <c r="L46" s="1"/>
      <c r="M46" s="32">
        <v>0.12319869574345593</v>
      </c>
      <c r="N46" s="32">
        <v>0.11822503103828519</v>
      </c>
      <c r="O46" s="32">
        <v>-1.4265611971023372E-2</v>
      </c>
      <c r="P46" s="32">
        <v>0.7331654643247093</v>
      </c>
      <c r="Q46" s="32">
        <v>3.9676420864573014E-2</v>
      </c>
      <c r="R46" s="11"/>
      <c r="S46" s="33">
        <v>1.943099637115937E-3</v>
      </c>
      <c r="T46" s="34">
        <v>7.0336502383027853E-3</v>
      </c>
      <c r="U46" s="34">
        <v>1.9430996370415588E-3</v>
      </c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5">
        <v>42681</v>
      </c>
      <c r="B47" s="1">
        <v>200.780563</v>
      </c>
      <c r="C47" s="1">
        <f t="shared" si="0"/>
        <v>0.15927689477901663</v>
      </c>
      <c r="D47" s="1">
        <v>126.255196</v>
      </c>
      <c r="E47" s="1">
        <f t="shared" si="1"/>
        <v>7.3939389423427704E-2</v>
      </c>
      <c r="F47" s="1">
        <v>19.558502000000001</v>
      </c>
      <c r="G47" s="1">
        <f t="shared" si="2"/>
        <v>0.12288648941231006</v>
      </c>
      <c r="H47" s="1">
        <v>113.49503300000001</v>
      </c>
      <c r="I47" s="1">
        <f t="shared" si="3"/>
        <v>-2.0021483278024221E-2</v>
      </c>
      <c r="J47" s="1">
        <v>118.231964</v>
      </c>
      <c r="K47" s="1">
        <f t="shared" si="4"/>
        <v>-7.1861902253334775E-2</v>
      </c>
      <c r="L47" s="1"/>
      <c r="M47" s="32">
        <v>0.13507899091107586</v>
      </c>
      <c r="N47" s="32">
        <v>0.14626826674661472</v>
      </c>
      <c r="O47" s="32">
        <v>-1.7025937015962164E-2</v>
      </c>
      <c r="P47" s="32">
        <v>0.65559736440300787</v>
      </c>
      <c r="Q47" s="32">
        <v>8.0081314955263716E-2</v>
      </c>
      <c r="R47" s="11"/>
      <c r="S47" s="33">
        <v>2.0499997154195186E-3</v>
      </c>
      <c r="T47" s="34">
        <v>7.4935640212227929E-3</v>
      </c>
      <c r="U47" s="34">
        <v>2.0499997153360519E-3</v>
      </c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5">
        <v>42688</v>
      </c>
      <c r="B48" s="1">
        <v>207.091263</v>
      </c>
      <c r="C48" s="1">
        <f t="shared" si="0"/>
        <v>3.1430831280217175E-2</v>
      </c>
      <c r="D48" s="1">
        <v>124.777275</v>
      </c>
      <c r="E48" s="1">
        <f t="shared" si="1"/>
        <v>-1.170582318053659E-2</v>
      </c>
      <c r="F48" s="1">
        <v>19.558502000000001</v>
      </c>
      <c r="G48" s="1">
        <f t="shared" si="2"/>
        <v>0</v>
      </c>
      <c r="H48" s="1">
        <v>112.062889</v>
      </c>
      <c r="I48" s="1">
        <f t="shared" si="3"/>
        <v>-1.2618561025485642E-2</v>
      </c>
      <c r="J48" s="1">
        <v>117.079094</v>
      </c>
      <c r="K48" s="1">
        <f t="shared" si="4"/>
        <v>-9.7509164273039683E-3</v>
      </c>
      <c r="L48" s="1"/>
      <c r="M48" s="32">
        <v>0.14695902362451613</v>
      </c>
      <c r="N48" s="32">
        <v>0.17431175053352263</v>
      </c>
      <c r="O48" s="32">
        <v>-1.9786170395243337E-2</v>
      </c>
      <c r="P48" s="32">
        <v>0.57802897696334543</v>
      </c>
      <c r="Q48" s="32">
        <v>0.12048641927385917</v>
      </c>
      <c r="R48" s="11"/>
      <c r="S48" s="33">
        <v>2.1568997937230997E-3</v>
      </c>
      <c r="T48" s="34">
        <v>8.0004523988775906E-3</v>
      </c>
      <c r="U48" s="34">
        <v>2.1568997929028262E-3</v>
      </c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5">
        <v>42695</v>
      </c>
      <c r="B49" s="1">
        <v>208.10531599999999</v>
      </c>
      <c r="C49" s="1">
        <f t="shared" si="0"/>
        <v>4.8966479092842352E-3</v>
      </c>
      <c r="D49" s="1">
        <v>127.92757400000001</v>
      </c>
      <c r="E49" s="1">
        <f t="shared" si="1"/>
        <v>2.5247377777724456E-2</v>
      </c>
      <c r="F49" s="1">
        <v>20.243051999999999</v>
      </c>
      <c r="G49" s="1">
        <f t="shared" si="2"/>
        <v>3.5000124242643871E-2</v>
      </c>
      <c r="H49" s="1">
        <v>112.062889</v>
      </c>
      <c r="I49" s="1">
        <f t="shared" si="3"/>
        <v>0</v>
      </c>
      <c r="J49" s="1">
        <v>117.050034</v>
      </c>
      <c r="K49" s="1">
        <f t="shared" si="4"/>
        <v>-2.4820827533911238E-4</v>
      </c>
      <c r="L49" s="1"/>
      <c r="M49" s="32">
        <v>0.15883888172150171</v>
      </c>
      <c r="N49" s="32">
        <v>0.20235539220304502</v>
      </c>
      <c r="O49" s="32">
        <v>-2.2546306039490371E-2</v>
      </c>
      <c r="P49" s="32">
        <v>0.50046030682798004</v>
      </c>
      <c r="Q49" s="32">
        <v>0.1608917252869636</v>
      </c>
      <c r="R49" s="11"/>
      <c r="S49" s="33">
        <v>2.2637998720266813E-3</v>
      </c>
      <c r="T49" s="34">
        <v>8.545960823051842E-3</v>
      </c>
      <c r="U49" s="34">
        <v>2.2637998719523037E-3</v>
      </c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5">
        <v>42702</v>
      </c>
      <c r="B50" s="1">
        <v>219.899719</v>
      </c>
      <c r="C50" s="1">
        <f t="shared" si="0"/>
        <v>5.6675164415309842E-2</v>
      </c>
      <c r="D50" s="1">
        <v>126.27462800000001</v>
      </c>
      <c r="E50" s="1">
        <f t="shared" si="1"/>
        <v>-1.2920951662852564E-2</v>
      </c>
      <c r="F50" s="1">
        <v>20.096359</v>
      </c>
      <c r="G50" s="1">
        <f t="shared" si="2"/>
        <v>-7.2465851493144218E-3</v>
      </c>
      <c r="H50" s="1">
        <v>111.880264</v>
      </c>
      <c r="I50" s="1">
        <f t="shared" si="3"/>
        <v>-1.6296652855344318E-3</v>
      </c>
      <c r="J50" s="1">
        <v>115.86808000000001</v>
      </c>
      <c r="K50" s="1">
        <f t="shared" si="4"/>
        <v>-1.0097852684092246E-2</v>
      </c>
      <c r="L50" s="1"/>
      <c r="M50" s="32">
        <v>0.17071894878268143</v>
      </c>
      <c r="N50" s="32">
        <v>0.23039884291970061</v>
      </c>
      <c r="O50" s="32">
        <v>-2.5306541152051793E-2</v>
      </c>
      <c r="P50" s="32">
        <v>0.42289190679089939</v>
      </c>
      <c r="Q50" s="32">
        <v>0.20129684265877035</v>
      </c>
      <c r="R50" s="11"/>
      <c r="S50" s="33">
        <v>2.3706999503302628E-3</v>
      </c>
      <c r="T50" s="34">
        <v>9.123164197319197E-3</v>
      </c>
      <c r="U50" s="34">
        <v>2.3706999502558965E-3</v>
      </c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5">
        <v>42709</v>
      </c>
      <c r="B51" s="1">
        <v>238.84132399999999</v>
      </c>
      <c r="C51" s="1">
        <f t="shared" si="0"/>
        <v>8.6137467961020731E-2</v>
      </c>
      <c r="D51" s="1">
        <v>130.38583399999999</v>
      </c>
      <c r="E51" s="1">
        <f t="shared" si="1"/>
        <v>3.2557656792304934E-2</v>
      </c>
      <c r="F51" s="1">
        <v>21.905522999999999</v>
      </c>
      <c r="G51" s="1">
        <f t="shared" si="2"/>
        <v>9.002446662104302E-2</v>
      </c>
      <c r="H51" s="1">
        <v>111.991867</v>
      </c>
      <c r="I51" s="1">
        <f t="shared" si="3"/>
        <v>9.975217791764468E-4</v>
      </c>
      <c r="J51" s="1">
        <v>114.064156</v>
      </c>
      <c r="K51" s="1">
        <f t="shared" si="4"/>
        <v>-1.5568774420012921E-2</v>
      </c>
      <c r="L51" s="1"/>
      <c r="M51" s="32">
        <v>0.18259915381658226</v>
      </c>
      <c r="N51" s="32">
        <v>0.2584421717072965</v>
      </c>
      <c r="O51" s="32">
        <v>-2.8066864442896952E-2</v>
      </c>
      <c r="P51" s="32">
        <v>0.34532375120756964</v>
      </c>
      <c r="Q51" s="32">
        <v>0.24170178771144857</v>
      </c>
      <c r="R51" s="11"/>
      <c r="S51" s="33">
        <v>2.4776000286338444E-3</v>
      </c>
      <c r="T51" s="34">
        <v>9.7264214546470499E-3</v>
      </c>
      <c r="U51" s="34">
        <v>2.4776000278571332E-3</v>
      </c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5">
        <v>42716</v>
      </c>
      <c r="B52" s="1">
        <v>235.928009</v>
      </c>
      <c r="C52" s="1">
        <f t="shared" si="0"/>
        <v>-1.2197700763038721E-2</v>
      </c>
      <c r="D52" s="1">
        <v>132.067093</v>
      </c>
      <c r="E52" s="1">
        <f t="shared" si="1"/>
        <v>1.2894491283462761E-2</v>
      </c>
      <c r="F52" s="1">
        <v>22.198902</v>
      </c>
      <c r="G52" s="1">
        <f t="shared" si="2"/>
        <v>1.339292378456336E-2</v>
      </c>
      <c r="H52" s="1">
        <v>111.413589</v>
      </c>
      <c r="I52" s="1">
        <f t="shared" si="3"/>
        <v>-5.1635713868400934E-3</v>
      </c>
      <c r="J52" s="1">
        <v>113.714676</v>
      </c>
      <c r="K52" s="1">
        <f t="shared" si="4"/>
        <v>-3.0638897639324592E-3</v>
      </c>
      <c r="L52" s="1"/>
      <c r="M52" s="32">
        <v>0.19447906692405759</v>
      </c>
      <c r="N52" s="32">
        <v>0.28648576139781801</v>
      </c>
      <c r="O52" s="32">
        <v>-3.0827011036534409E-2</v>
      </c>
      <c r="P52" s="32">
        <v>0.26775508760729799</v>
      </c>
      <c r="Q52" s="32">
        <v>0.28210709510736076</v>
      </c>
      <c r="R52" s="11"/>
      <c r="S52" s="33">
        <v>2.5845001069374259E-3</v>
      </c>
      <c r="T52" s="34">
        <v>1.0351178418492778E-2</v>
      </c>
      <c r="U52" s="34">
        <v>2.584500106863057E-3</v>
      </c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5">
        <v>42723</v>
      </c>
      <c r="B53" s="1">
        <v>237.97226000000001</v>
      </c>
      <c r="C53" s="1">
        <f t="shared" si="0"/>
        <v>8.6647236530530414E-3</v>
      </c>
      <c r="D53" s="1">
        <v>132.008453</v>
      </c>
      <c r="E53" s="1">
        <f t="shared" si="1"/>
        <v>-4.4401673927962904E-4</v>
      </c>
      <c r="F53" s="1">
        <v>22.296692</v>
      </c>
      <c r="G53" s="1">
        <f t="shared" si="2"/>
        <v>4.405172832422144E-3</v>
      </c>
      <c r="H53" s="1">
        <v>112.117172</v>
      </c>
      <c r="I53" s="1">
        <f t="shared" si="3"/>
        <v>6.3150555180480072E-3</v>
      </c>
      <c r="J53" s="1">
        <v>114.598068</v>
      </c>
      <c r="K53" s="1">
        <f t="shared" si="4"/>
        <v>7.7684959503381279E-3</v>
      </c>
      <c r="L53" s="1"/>
      <c r="M53" s="32">
        <v>0.20635925275277273</v>
      </c>
      <c r="N53" s="32">
        <v>0.31452910398145983</v>
      </c>
      <c r="O53" s="32">
        <v>-3.3587317407232267E-2</v>
      </c>
      <c r="P53" s="32">
        <v>0.19018692546716828</v>
      </c>
      <c r="Q53" s="32">
        <v>0.32251203520583138</v>
      </c>
      <c r="R53" s="11"/>
      <c r="S53" s="33">
        <v>2.691400185241007E-3</v>
      </c>
      <c r="T53" s="34">
        <v>1.0993770311309594E-2</v>
      </c>
      <c r="U53" s="34">
        <v>2.6914001844813192E-3</v>
      </c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5">
        <v>42730</v>
      </c>
      <c r="B54" s="1">
        <v>236.471161</v>
      </c>
      <c r="C54" s="1">
        <f t="shared" si="0"/>
        <v>-6.3078738673154611E-3</v>
      </c>
      <c r="D54" s="1">
        <v>131.060303</v>
      </c>
      <c r="E54" s="1">
        <f t="shared" si="1"/>
        <v>-7.1824945937363216E-3</v>
      </c>
      <c r="F54" s="1">
        <v>21.856625000000001</v>
      </c>
      <c r="G54" s="1">
        <f t="shared" si="2"/>
        <v>-1.9736873972156954E-2</v>
      </c>
      <c r="H54" s="1">
        <v>113.245605</v>
      </c>
      <c r="I54" s="1">
        <f t="shared" si="3"/>
        <v>1.0064765101281736E-2</v>
      </c>
      <c r="J54" s="1">
        <v>115.949234</v>
      </c>
      <c r="K54" s="1">
        <f t="shared" si="4"/>
        <v>1.1790478003520954E-2</v>
      </c>
      <c r="L54" s="1"/>
      <c r="M54" s="32">
        <v>0.21823920046796258</v>
      </c>
      <c r="N54" s="32">
        <v>0.34257266793315638</v>
      </c>
      <c r="O54" s="32">
        <v>-3.6347485398441501E-2</v>
      </c>
      <c r="P54" s="32">
        <v>0.11261823212831037</v>
      </c>
      <c r="Q54" s="32">
        <v>0.36291738486901215</v>
      </c>
      <c r="R54" s="11"/>
      <c r="S54" s="33">
        <v>2.7983002635445886E-3</v>
      </c>
      <c r="T54" s="34">
        <v>1.1651246615119317E-2</v>
      </c>
      <c r="U54" s="34">
        <v>2.7983002634702188E-3</v>
      </c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5">
        <v>42737</v>
      </c>
      <c r="B55" s="1">
        <v>241.85333299999999</v>
      </c>
      <c r="C55" s="1">
        <f t="shared" si="0"/>
        <v>2.276037372692552E-2</v>
      </c>
      <c r="D55" s="1">
        <v>130.52269000000001</v>
      </c>
      <c r="E55" s="1">
        <f t="shared" si="1"/>
        <v>-4.1020277513015291E-3</v>
      </c>
      <c r="F55" s="1">
        <v>21.758835000000001</v>
      </c>
      <c r="G55" s="1">
        <f t="shared" si="2"/>
        <v>-4.4741582929660462E-3</v>
      </c>
      <c r="H55" s="1">
        <v>113.73848</v>
      </c>
      <c r="I55" s="1">
        <f t="shared" si="3"/>
        <v>4.3522660327524054E-3</v>
      </c>
      <c r="J55" s="1">
        <v>117.633064</v>
      </c>
      <c r="K55" s="1">
        <f t="shared" si="4"/>
        <v>1.45221312975643E-2</v>
      </c>
      <c r="L55" s="1"/>
      <c r="M55" s="32">
        <v>0.23011936233044658</v>
      </c>
      <c r="N55" s="32">
        <v>0.37061602680782352</v>
      </c>
      <c r="O55" s="32">
        <v>-3.9107772359870979E-2</v>
      </c>
      <c r="P55" s="32">
        <v>3.5050089216924353E-2</v>
      </c>
      <c r="Q55" s="32">
        <v>0.40332229400467656</v>
      </c>
      <c r="R55" s="11"/>
      <c r="S55" s="33">
        <v>2.9052003418481701E-3</v>
      </c>
      <c r="T55" s="34">
        <v>1.2321224791248909E-2</v>
      </c>
      <c r="U55" s="34">
        <v>2.9052003410981494E-3</v>
      </c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5">
        <v>42744</v>
      </c>
      <c r="B56" s="1">
        <v>241.260818</v>
      </c>
      <c r="C56" s="1">
        <f t="shared" si="0"/>
        <v>-2.4498938784522917E-3</v>
      </c>
      <c r="D56" s="1">
        <v>131.99868799999999</v>
      </c>
      <c r="E56" s="1">
        <f t="shared" si="1"/>
        <v>1.1308363319818104E-2</v>
      </c>
      <c r="F56" s="1">
        <v>21.758835000000001</v>
      </c>
      <c r="G56" s="1">
        <f t="shared" si="2"/>
        <v>0</v>
      </c>
      <c r="H56" s="1">
        <v>113.825462</v>
      </c>
      <c r="I56" s="1">
        <f t="shared" si="3"/>
        <v>7.647543733659834E-4</v>
      </c>
      <c r="J56" s="1">
        <v>118.071045</v>
      </c>
      <c r="K56" s="1">
        <f t="shared" si="4"/>
        <v>3.7232814066630038E-3</v>
      </c>
      <c r="L56" s="1"/>
      <c r="M56" s="32">
        <v>0.24199932446372741</v>
      </c>
      <c r="N56" s="32">
        <v>0.39865958667547569</v>
      </c>
      <c r="O56" s="32">
        <v>-4.1867960005780983E-2</v>
      </c>
      <c r="P56" s="32">
        <v>-4.2518668444387661E-2</v>
      </c>
      <c r="Q56" s="32">
        <v>0.4437277173109655</v>
      </c>
      <c r="R56" s="11"/>
      <c r="S56" s="33">
        <v>3.0121004201517513E-3</v>
      </c>
      <c r="T56" s="34">
        <v>1.300177234364038E-2</v>
      </c>
      <c r="U56" s="34">
        <v>3.0121004200773798E-3</v>
      </c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5">
        <v>42751</v>
      </c>
      <c r="B57" s="1">
        <v>229.31134</v>
      </c>
      <c r="C57" s="1">
        <f t="shared" si="0"/>
        <v>-4.9529294060505102E-2</v>
      </c>
      <c r="D57" s="1">
        <v>132.54608200000001</v>
      </c>
      <c r="E57" s="1">
        <f t="shared" si="1"/>
        <v>4.1469654607477757E-3</v>
      </c>
      <c r="F57" s="1">
        <v>21.661041000000001</v>
      </c>
      <c r="G57" s="1">
        <f t="shared" si="2"/>
        <v>-4.4944501854075058E-3</v>
      </c>
      <c r="H57" s="1">
        <v>113.380898</v>
      </c>
      <c r="I57" s="1">
        <f t="shared" si="3"/>
        <v>-3.9056639190271358E-3</v>
      </c>
      <c r="J57" s="1">
        <v>116.73764</v>
      </c>
      <c r="K57" s="1">
        <f t="shared" si="4"/>
        <v>-1.1293242979258822E-2</v>
      </c>
      <c r="L57" s="1"/>
      <c r="M57" s="32">
        <v>0.25387940482332499</v>
      </c>
      <c r="N57" s="32">
        <v>0.4267030230159562</v>
      </c>
      <c r="O57" s="32">
        <v>-4.462817498105956E-2</v>
      </c>
      <c r="P57" s="32">
        <v>-0.12008717821420599</v>
      </c>
      <c r="Q57" s="32">
        <v>0.4841329253559844</v>
      </c>
      <c r="R57" s="11"/>
      <c r="S57" s="33">
        <v>3.1190004984553328E-3</v>
      </c>
      <c r="T57" s="34">
        <v>1.3691313250691235E-2</v>
      </c>
      <c r="U57" s="34">
        <v>3.1190004983809674E-3</v>
      </c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5">
        <v>42758</v>
      </c>
      <c r="B58" s="1">
        <v>234.00225800000001</v>
      </c>
      <c r="C58" s="1">
        <f t="shared" si="0"/>
        <v>2.0456546108884144E-2</v>
      </c>
      <c r="D58" s="1">
        <v>135.21456900000001</v>
      </c>
      <c r="E58" s="1">
        <f t="shared" si="1"/>
        <v>2.013252266483434E-2</v>
      </c>
      <c r="F58" s="1">
        <v>21.318767999999999</v>
      </c>
      <c r="G58" s="1">
        <f t="shared" si="2"/>
        <v>-1.5801318136095199E-2</v>
      </c>
      <c r="H58" s="1">
        <v>113.400215</v>
      </c>
      <c r="I58" s="1">
        <f t="shared" si="3"/>
        <v>1.7037261426522399E-4</v>
      </c>
      <c r="J58" s="1">
        <v>116.435913</v>
      </c>
      <c r="K58" s="1">
        <f t="shared" si="4"/>
        <v>-2.5846590696881888E-3</v>
      </c>
      <c r="L58" s="1"/>
      <c r="M58" s="32">
        <v>0.26575948057941162</v>
      </c>
      <c r="N58" s="32">
        <v>0.45474646598923091</v>
      </c>
      <c r="O58" s="32">
        <v>-4.7388398347933694E-2</v>
      </c>
      <c r="P58" s="32">
        <v>-0.19765567090645383</v>
      </c>
      <c r="Q58" s="32">
        <v>0.52453812268574507</v>
      </c>
      <c r="R58" s="11"/>
      <c r="S58" s="33">
        <v>3.2259005767589144E-3</v>
      </c>
      <c r="T58" s="34">
        <v>1.4388554611910581E-2</v>
      </c>
      <c r="U58" s="34">
        <v>3.2259005766845472E-3</v>
      </c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5">
        <v>42765</v>
      </c>
      <c r="B59" s="1">
        <v>237.952484</v>
      </c>
      <c r="C59" s="1">
        <f t="shared" si="0"/>
        <v>1.6881144796474512E-2</v>
      </c>
      <c r="D59" s="1">
        <v>134.872467</v>
      </c>
      <c r="E59" s="1">
        <f t="shared" si="1"/>
        <v>-2.5300675994464061E-3</v>
      </c>
      <c r="F59" s="1">
        <v>21.269870999999998</v>
      </c>
      <c r="G59" s="1">
        <f t="shared" si="2"/>
        <v>-2.2936128391659594E-3</v>
      </c>
      <c r="H59" s="1">
        <v>113.119957</v>
      </c>
      <c r="I59" s="1">
        <f t="shared" si="3"/>
        <v>-2.4714062490975852E-3</v>
      </c>
      <c r="J59" s="1">
        <v>115.822731</v>
      </c>
      <c r="K59" s="1">
        <f t="shared" si="4"/>
        <v>-5.2662617933008082E-3</v>
      </c>
      <c r="L59" s="1"/>
      <c r="M59" s="32">
        <v>0.27763961630450035</v>
      </c>
      <c r="N59" s="32">
        <v>0.48278983429721878</v>
      </c>
      <c r="O59" s="32">
        <v>-5.0148660616548546E-2</v>
      </c>
      <c r="P59" s="32">
        <v>-0.27522366480676569</v>
      </c>
      <c r="Q59" s="32">
        <v>0.56494287482159522</v>
      </c>
      <c r="R59" s="11"/>
      <c r="S59" s="33">
        <v>3.3328006550624959E-3</v>
      </c>
      <c r="T59" s="34">
        <v>1.5092429221787633E-2</v>
      </c>
      <c r="U59" s="34">
        <v>3.3328006543104347E-3</v>
      </c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5">
        <v>42772</v>
      </c>
      <c r="B60" s="1">
        <v>239.70048499999999</v>
      </c>
      <c r="C60" s="1">
        <f t="shared" si="0"/>
        <v>7.3460086258230195E-3</v>
      </c>
      <c r="D60" s="1">
        <v>136.70036300000001</v>
      </c>
      <c r="E60" s="1">
        <f t="shared" si="1"/>
        <v>1.3552773524933004E-2</v>
      </c>
      <c r="F60" s="1">
        <v>21.26005</v>
      </c>
      <c r="G60" s="1">
        <f t="shared" si="2"/>
        <v>-4.6173293669715676E-4</v>
      </c>
      <c r="H60" s="1">
        <v>113.890541</v>
      </c>
      <c r="I60" s="1">
        <f t="shared" si="3"/>
        <v>6.8120959416559934E-3</v>
      </c>
      <c r="J60" s="1">
        <v>117.789772</v>
      </c>
      <c r="K60" s="1">
        <f t="shared" si="4"/>
        <v>1.6983203409354886E-2</v>
      </c>
      <c r="L60" s="1"/>
      <c r="M60" s="32">
        <v>0.28951971795235049</v>
      </c>
      <c r="N60" s="32">
        <v>0.51083325051611128</v>
      </c>
      <c r="O60" s="32">
        <v>-5.2908878308950726E-2</v>
      </c>
      <c r="P60" s="32">
        <v>-0.35279218147456942</v>
      </c>
      <c r="Q60" s="32">
        <v>0.6053480913150584</v>
      </c>
      <c r="R60" s="11"/>
      <c r="S60" s="33">
        <v>3.439700733366077E-3</v>
      </c>
      <c r="T60" s="34">
        <v>1.580205071421921E-2</v>
      </c>
      <c r="U60" s="34">
        <v>3.4397007326085927E-3</v>
      </c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5">
        <v>42779</v>
      </c>
      <c r="B61" s="1">
        <v>247.26518200000001</v>
      </c>
      <c r="C61" s="1">
        <f t="shared" si="0"/>
        <v>3.1558955752634565E-2</v>
      </c>
      <c r="D61" s="1">
        <v>139.779404</v>
      </c>
      <c r="E61" s="1">
        <f t="shared" si="1"/>
        <v>2.2524014804554682E-2</v>
      </c>
      <c r="F61" s="1">
        <v>21.309152999999998</v>
      </c>
      <c r="G61" s="1">
        <f t="shared" si="2"/>
        <v>2.3096370892823348E-3</v>
      </c>
      <c r="H61" s="1">
        <v>114.09404000000001</v>
      </c>
      <c r="I61" s="1">
        <f t="shared" si="3"/>
        <v>1.7867945679528319E-3</v>
      </c>
      <c r="J61" s="1">
        <v>117.36058800000001</v>
      </c>
      <c r="K61" s="1">
        <f t="shared" si="4"/>
        <v>-3.643644033880955E-3</v>
      </c>
      <c r="L61" s="1"/>
      <c r="M61" s="32">
        <v>0.30139971850818714</v>
      </c>
      <c r="N61" s="32">
        <v>0.53887678318197818</v>
      </c>
      <c r="O61" s="32">
        <v>-5.5669060053419685E-2</v>
      </c>
      <c r="P61" s="32">
        <v>-0.43036118430866832</v>
      </c>
      <c r="Q61" s="32">
        <v>0.64575374267192265</v>
      </c>
      <c r="R61" s="11"/>
      <c r="S61" s="33">
        <v>3.5466008116696586E-3</v>
      </c>
      <c r="T61" s="34">
        <v>1.6516678380534711E-2</v>
      </c>
      <c r="U61" s="34">
        <v>3.5466008115952919E-3</v>
      </c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5">
        <v>42786</v>
      </c>
      <c r="B62" s="1">
        <v>244.27288799999999</v>
      </c>
      <c r="C62" s="1">
        <f t="shared" si="0"/>
        <v>-1.2101558237180399E-2</v>
      </c>
      <c r="D62" s="1">
        <v>142.66296399999999</v>
      </c>
      <c r="E62" s="1">
        <f t="shared" si="1"/>
        <v>2.0629362534697826E-2</v>
      </c>
      <c r="F62" s="1">
        <v>21.26005</v>
      </c>
      <c r="G62" s="1">
        <f t="shared" si="2"/>
        <v>-2.3043149579901057E-3</v>
      </c>
      <c r="H62" s="1">
        <v>115.10183000000001</v>
      </c>
      <c r="I62" s="1">
        <f t="shared" si="3"/>
        <v>8.8329767269175186E-3</v>
      </c>
      <c r="J62" s="1">
        <v>119.00902600000001</v>
      </c>
      <c r="K62" s="1">
        <f t="shared" si="4"/>
        <v>1.4045924855114134E-2</v>
      </c>
      <c r="L62" s="1"/>
      <c r="M62" s="32">
        <v>0.31327979081064256</v>
      </c>
      <c r="N62" s="32">
        <v>0.56692022922940155</v>
      </c>
      <c r="O62" s="32">
        <v>-5.8429279949379298E-2</v>
      </c>
      <c r="P62" s="32">
        <v>-0.50792969161172385</v>
      </c>
      <c r="Q62" s="32">
        <v>0.68615895152105899</v>
      </c>
      <c r="R62" s="11"/>
      <c r="S62" s="33">
        <v>3.6535008899732401E-3</v>
      </c>
      <c r="T62" s="34">
        <v>1.7235689524125616E-2</v>
      </c>
      <c r="U62" s="34">
        <v>3.653500889898876E-3</v>
      </c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5">
        <v>42793</v>
      </c>
      <c r="B63" s="1">
        <v>249.74395799999999</v>
      </c>
      <c r="C63" s="1">
        <f t="shared" si="0"/>
        <v>2.2397368962207453E-2</v>
      </c>
      <c r="D63" s="1">
        <v>144.481064</v>
      </c>
      <c r="E63" s="1">
        <f t="shared" si="1"/>
        <v>1.2744022337850769E-2</v>
      </c>
      <c r="F63" s="1">
        <v>21.161854000000002</v>
      </c>
      <c r="G63" s="1">
        <f t="shared" si="2"/>
        <v>-4.6188038127848996E-3</v>
      </c>
      <c r="H63" s="1">
        <v>113.861465</v>
      </c>
      <c r="I63" s="1">
        <f t="shared" si="3"/>
        <v>-1.0776240482014976E-2</v>
      </c>
      <c r="J63" s="1">
        <v>116.414444</v>
      </c>
      <c r="K63" s="1">
        <f t="shared" si="4"/>
        <v>-2.1801556463456828E-2</v>
      </c>
      <c r="L63" s="1"/>
      <c r="M63" s="32">
        <v>0.32515985505135819</v>
      </c>
      <c r="N63" s="32">
        <v>0.59496368681210843</v>
      </c>
      <c r="O63" s="32">
        <v>-6.1189509634947445E-2</v>
      </c>
      <c r="P63" s="32">
        <v>-0.58549819857845842</v>
      </c>
      <c r="Q63" s="32">
        <v>0.72656416634993926</v>
      </c>
      <c r="R63" s="11"/>
      <c r="S63" s="33">
        <v>3.7604009682768217E-3</v>
      </c>
      <c r="T63" s="34">
        <v>1.7958557649677E-2</v>
      </c>
      <c r="U63" s="34">
        <v>3.7604009682024558E-3</v>
      </c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5">
        <v>42800</v>
      </c>
      <c r="B64" s="1">
        <v>245.93121300000001</v>
      </c>
      <c r="C64" s="1">
        <f t="shared" si="0"/>
        <v>-1.5266615579144327E-2</v>
      </c>
      <c r="D64" s="1">
        <v>143.542709</v>
      </c>
      <c r="E64" s="1">
        <f t="shared" si="1"/>
        <v>-6.4946573206299263E-3</v>
      </c>
      <c r="F64" s="1">
        <v>20.867253999999999</v>
      </c>
      <c r="G64" s="1">
        <f t="shared" si="2"/>
        <v>-1.3921275517731257E-2</v>
      </c>
      <c r="H64" s="1">
        <v>112.72273300000001</v>
      </c>
      <c r="I64" s="1">
        <f t="shared" si="3"/>
        <v>-1.0001030638416508E-2</v>
      </c>
      <c r="J64" s="1">
        <v>114.586342</v>
      </c>
      <c r="K64" s="1">
        <f t="shared" si="4"/>
        <v>-1.5703395018576871E-2</v>
      </c>
      <c r="L64" s="1"/>
      <c r="M64" s="32">
        <v>0.33703994321338782</v>
      </c>
      <c r="N64" s="32">
        <v>0.62300711564112599</v>
      </c>
      <c r="O64" s="32">
        <v>-6.3949724455866302E-2</v>
      </c>
      <c r="P64" s="32">
        <v>-0.66306671567118269</v>
      </c>
      <c r="Q64" s="32">
        <v>0.76696938127253522</v>
      </c>
      <c r="R64" s="11"/>
      <c r="S64" s="33">
        <v>3.8673010465804032E-3</v>
      </c>
      <c r="T64" s="34">
        <v>1.8684835112467494E-2</v>
      </c>
      <c r="U64" s="34">
        <v>3.8673010465060378E-3</v>
      </c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5">
        <v>42807</v>
      </c>
      <c r="B65" s="1">
        <v>241.534988</v>
      </c>
      <c r="C65" s="1">
        <f t="shared" si="0"/>
        <v>-1.7875831808303322E-2</v>
      </c>
      <c r="D65" s="1">
        <v>147.12072800000001</v>
      </c>
      <c r="E65" s="1">
        <f t="shared" si="1"/>
        <v>2.4926511593145406E-2</v>
      </c>
      <c r="F65" s="1">
        <v>21.210953</v>
      </c>
      <c r="G65" s="1">
        <f t="shared" si="2"/>
        <v>1.647073448188241E-2</v>
      </c>
      <c r="H65" s="1">
        <v>113.509789</v>
      </c>
      <c r="I65" s="1">
        <f t="shared" si="3"/>
        <v>6.9822295738695139E-3</v>
      </c>
      <c r="J65" s="1">
        <v>115.944771</v>
      </c>
      <c r="K65" s="1">
        <f t="shared" si="4"/>
        <v>1.1855069079698799E-2</v>
      </c>
      <c r="L65" s="1"/>
      <c r="M65" s="32">
        <v>0.34892008675777481</v>
      </c>
      <c r="N65" s="32">
        <v>0.65105046405313349</v>
      </c>
      <c r="O65" s="32">
        <v>-6.6709989843384276E-2</v>
      </c>
      <c r="P65" s="32">
        <v>-0.74063447328856025</v>
      </c>
      <c r="Q65" s="32">
        <v>0.80737391232103628</v>
      </c>
      <c r="R65" s="11"/>
      <c r="S65" s="33">
        <v>3.9742011248839844E-3</v>
      </c>
      <c r="T65" s="34">
        <v>1.9414139284263783E-2</v>
      </c>
      <c r="U65" s="34">
        <v>3.974201124081575E-3</v>
      </c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5">
        <v>42814</v>
      </c>
      <c r="B66" s="1">
        <v>226.158096</v>
      </c>
      <c r="C66" s="1">
        <f t="shared" si="0"/>
        <v>-6.3663207253435217E-2</v>
      </c>
      <c r="D66" s="1">
        <v>145.26203899999999</v>
      </c>
      <c r="E66" s="1">
        <f t="shared" si="1"/>
        <v>-1.2633767010723496E-2</v>
      </c>
      <c r="F66" s="1">
        <v>20.719957000000001</v>
      </c>
      <c r="G66" s="1">
        <f t="shared" si="2"/>
        <v>-2.3148229124829944E-2</v>
      </c>
      <c r="H66" s="1">
        <v>114.384293</v>
      </c>
      <c r="I66" s="1">
        <f t="shared" si="3"/>
        <v>7.7042165940419682E-3</v>
      </c>
      <c r="J66" s="1">
        <v>118.133865</v>
      </c>
      <c r="K66" s="1">
        <f t="shared" si="4"/>
        <v>1.888048922878971E-2</v>
      </c>
      <c r="L66" s="1"/>
      <c r="M66" s="32">
        <v>0.36080010060301132</v>
      </c>
      <c r="N66" s="32">
        <v>0.67909400086374205</v>
      </c>
      <c r="O66" s="32">
        <v>-6.9470174321715858E-2</v>
      </c>
      <c r="P66" s="32">
        <v>-0.81820377508797393</v>
      </c>
      <c r="Q66" s="32">
        <v>0.84777984794293648</v>
      </c>
      <c r="R66" s="11"/>
      <c r="S66" s="33">
        <v>4.0811012031875659E-3</v>
      </c>
      <c r="T66" s="34">
        <v>2.01461414753E-2</v>
      </c>
      <c r="U66" s="34">
        <v>4.0811012031132052E-3</v>
      </c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5">
        <v>42821</v>
      </c>
      <c r="B67" s="1">
        <v>227.455185</v>
      </c>
      <c r="C67" s="1">
        <f t="shared" si="0"/>
        <v>5.7353197738276851E-3</v>
      </c>
      <c r="D67" s="1">
        <v>144.396637</v>
      </c>
      <c r="E67" s="1">
        <f t="shared" si="1"/>
        <v>-5.9575234242718045E-3</v>
      </c>
      <c r="F67" s="1">
        <v>20.376263000000002</v>
      </c>
      <c r="G67" s="1">
        <f t="shared" si="2"/>
        <v>-1.6587582686585667E-2</v>
      </c>
      <c r="H67" s="1">
        <v>114.568916</v>
      </c>
      <c r="I67" s="1">
        <f t="shared" si="3"/>
        <v>1.6140590211979333E-3</v>
      </c>
      <c r="J67" s="1">
        <v>117.967743</v>
      </c>
      <c r="K67" s="1">
        <f t="shared" si="4"/>
        <v>-1.406218276190363E-3</v>
      </c>
      <c r="L67" s="1"/>
      <c r="M67" s="32">
        <v>0.37268023777052789</v>
      </c>
      <c r="N67" s="32">
        <v>0.70713734554800667</v>
      </c>
      <c r="O67" s="32">
        <v>-7.2230432236945516E-2</v>
      </c>
      <c r="P67" s="32">
        <v>-0.89577139682551876</v>
      </c>
      <c r="Q67" s="32">
        <v>0.88818424574392973</v>
      </c>
      <c r="R67" s="11"/>
      <c r="S67" s="33">
        <v>4.1880012814911475E-3</v>
      </c>
      <c r="T67" s="34">
        <v>2.0880557917978146E-2</v>
      </c>
      <c r="U67" s="34">
        <v>4.1880012806651537E-3</v>
      </c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5">
        <v>42828</v>
      </c>
      <c r="B68" s="1">
        <v>225.63331600000001</v>
      </c>
      <c r="C68" s="1">
        <f t="shared" ref="C68:C106" si="5">B68/B67-1</f>
        <v>-8.0097932258611504E-3</v>
      </c>
      <c r="D68" s="1">
        <v>144.691666</v>
      </c>
      <c r="E68" s="1">
        <f t="shared" ref="E68:E106" si="6">D68/D67-1</f>
        <v>2.0431847038100415E-3</v>
      </c>
      <c r="F68" s="1">
        <v>19.688867999999999</v>
      </c>
      <c r="G68" s="1">
        <f t="shared" ref="G68:G106" si="7">F68/F67-1</f>
        <v>-3.3735086752659349E-2</v>
      </c>
      <c r="H68" s="1">
        <v>114.442589</v>
      </c>
      <c r="I68" s="1">
        <f t="shared" ref="I68:I106" si="8">H68/H67-1</f>
        <v>-1.102628918999371E-3</v>
      </c>
      <c r="J68" s="1">
        <v>117.967743</v>
      </c>
      <c r="K68" s="1">
        <f t="shared" ref="K68:K106" si="9">J68/J67-1</f>
        <v>0</v>
      </c>
      <c r="L68" s="1"/>
      <c r="M68" s="29"/>
      <c r="N68" s="29"/>
      <c r="O68" s="29"/>
      <c r="P68" s="29"/>
      <c r="Q68" s="29"/>
      <c r="R68" s="11"/>
      <c r="S68" s="10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5">
        <v>42835</v>
      </c>
      <c r="B69" s="1">
        <v>221.11828600000001</v>
      </c>
      <c r="C69" s="1">
        <f t="shared" si="5"/>
        <v>-2.00104757579328E-2</v>
      </c>
      <c r="D69" s="1">
        <v>143.49186700000001</v>
      </c>
      <c r="E69" s="1">
        <f t="shared" si="6"/>
        <v>-8.2921085448002252E-3</v>
      </c>
      <c r="F69" s="1">
        <v>18.755980999999998</v>
      </c>
      <c r="G69" s="1">
        <f t="shared" si="7"/>
        <v>-4.7381444174444232E-2</v>
      </c>
      <c r="H69" s="1">
        <v>116.07711</v>
      </c>
      <c r="I69" s="1">
        <f t="shared" si="8"/>
        <v>1.4282453886114155E-2</v>
      </c>
      <c r="J69" s="1">
        <v>120.92049400000001</v>
      </c>
      <c r="K69" s="1">
        <f t="shared" si="9"/>
        <v>2.5030155913044805E-2</v>
      </c>
      <c r="L69" s="1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5">
        <v>42842</v>
      </c>
      <c r="B70" s="1">
        <v>214.72197</v>
      </c>
      <c r="C70" s="1">
        <f t="shared" si="5"/>
        <v>-2.8927123648199826E-2</v>
      </c>
      <c r="D70" s="1">
        <v>147.514084</v>
      </c>
      <c r="E70" s="1">
        <f t="shared" si="6"/>
        <v>2.803097544197386E-2</v>
      </c>
      <c r="F70" s="1">
        <v>19.296074000000001</v>
      </c>
      <c r="G70" s="1">
        <f t="shared" si="7"/>
        <v>2.8795774531868101E-2</v>
      </c>
      <c r="H70" s="1">
        <v>116.018654</v>
      </c>
      <c r="I70" s="1">
        <f t="shared" si="8"/>
        <v>-5.0359627320151201E-4</v>
      </c>
      <c r="J70" s="1">
        <v>120.989037</v>
      </c>
      <c r="K70" s="1">
        <f t="shared" si="9"/>
        <v>5.6684353274305543E-4</v>
      </c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5">
        <v>42849</v>
      </c>
      <c r="B71" s="1">
        <v>221.593536</v>
      </c>
      <c r="C71" s="1">
        <f t="shared" si="5"/>
        <v>3.2002156090501499E-2</v>
      </c>
      <c r="D71" s="1">
        <v>153.51300000000001</v>
      </c>
      <c r="E71" s="1">
        <f t="shared" si="6"/>
        <v>4.0666733896405516E-2</v>
      </c>
      <c r="F71" s="1">
        <v>19.639771</v>
      </c>
      <c r="G71" s="1">
        <f t="shared" si="7"/>
        <v>1.7811757977296283E-2</v>
      </c>
      <c r="H71" s="1">
        <v>115.930969</v>
      </c>
      <c r="I71" s="1">
        <f t="shared" si="8"/>
        <v>-7.5578363458683739E-4</v>
      </c>
      <c r="J71" s="1">
        <v>119.82360799999999</v>
      </c>
      <c r="K71" s="1">
        <f t="shared" si="9"/>
        <v>-9.6325173660155583E-3</v>
      </c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5">
        <v>42856</v>
      </c>
      <c r="B72" s="1">
        <v>224.63327000000001</v>
      </c>
      <c r="C72" s="1">
        <f t="shared" si="5"/>
        <v>1.3717611329601365E-2</v>
      </c>
      <c r="D72" s="1">
        <v>153.14910900000001</v>
      </c>
      <c r="E72" s="1">
        <f t="shared" si="6"/>
        <v>-2.3704246545894758E-3</v>
      </c>
      <c r="F72" s="1">
        <v>19.737970000000001</v>
      </c>
      <c r="G72" s="1">
        <f t="shared" si="7"/>
        <v>5.0000073829781222E-3</v>
      </c>
      <c r="H72" s="1">
        <v>115.35614</v>
      </c>
      <c r="I72" s="1">
        <f t="shared" si="8"/>
        <v>-4.9583731159877908E-3</v>
      </c>
      <c r="J72" s="1">
        <v>118.7855</v>
      </c>
      <c r="K72" s="1">
        <f t="shared" si="9"/>
        <v>-8.6636349658240075E-3</v>
      </c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5">
        <v>42863</v>
      </c>
      <c r="B73" s="1">
        <v>220.62321499999999</v>
      </c>
      <c r="C73" s="1">
        <f t="shared" si="5"/>
        <v>-1.7851563127759373E-2</v>
      </c>
      <c r="D73" s="1">
        <v>154.31939700000001</v>
      </c>
      <c r="E73" s="1">
        <f t="shared" si="6"/>
        <v>7.6414940161355638E-3</v>
      </c>
      <c r="F73" s="1">
        <v>19.826746</v>
      </c>
      <c r="G73" s="1">
        <f t="shared" si="7"/>
        <v>4.497726969896032E-3</v>
      </c>
      <c r="H73" s="1">
        <v>116.284622</v>
      </c>
      <c r="I73" s="1">
        <f t="shared" si="8"/>
        <v>8.0488303440111597E-3</v>
      </c>
      <c r="J73" s="1">
        <v>119.131737</v>
      </c>
      <c r="K73" s="1">
        <f t="shared" si="9"/>
        <v>2.9148086256318706E-3</v>
      </c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5">
        <v>42870</v>
      </c>
      <c r="B74" s="1">
        <v>213.26646400000001</v>
      </c>
      <c r="C74" s="1">
        <f t="shared" si="5"/>
        <v>-3.3345316810835079E-2</v>
      </c>
      <c r="D74" s="1">
        <v>153.709686</v>
      </c>
      <c r="E74" s="1">
        <f t="shared" si="6"/>
        <v>-3.9509680043656736E-3</v>
      </c>
      <c r="F74" s="1">
        <v>19.284223999999998</v>
      </c>
      <c r="G74" s="1">
        <f t="shared" si="7"/>
        <v>-2.736313866128115E-2</v>
      </c>
      <c r="H74" s="1">
        <v>117.202934</v>
      </c>
      <c r="I74" s="1">
        <f t="shared" si="8"/>
        <v>7.8971061195005632E-3</v>
      </c>
      <c r="J74" s="1">
        <v>121.408562</v>
      </c>
      <c r="K74" s="1">
        <f t="shared" si="9"/>
        <v>1.9111825759746903E-2</v>
      </c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5">
        <v>42877</v>
      </c>
      <c r="B75" s="1">
        <v>221.32620199999999</v>
      </c>
      <c r="C75" s="1">
        <f t="shared" si="5"/>
        <v>3.7791867735941675E-2</v>
      </c>
      <c r="D75" s="1">
        <v>152.33287000000001</v>
      </c>
      <c r="E75" s="1">
        <f t="shared" si="6"/>
        <v>-8.9572494475070874E-3</v>
      </c>
      <c r="F75" s="1">
        <v>19.629465</v>
      </c>
      <c r="G75" s="1">
        <f t="shared" si="7"/>
        <v>1.7902768605052577E-2</v>
      </c>
      <c r="H75" s="1">
        <v>117.06616200000001</v>
      </c>
      <c r="I75" s="1">
        <f t="shared" si="8"/>
        <v>-1.1669673730181351E-3</v>
      </c>
      <c r="J75" s="1">
        <v>121.18285400000001</v>
      </c>
      <c r="K75" s="1">
        <f t="shared" si="9"/>
        <v>-1.8590781101582854E-3</v>
      </c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5">
        <v>42884</v>
      </c>
      <c r="B76" s="1">
        <v>211.20695499999999</v>
      </c>
      <c r="C76" s="1">
        <f t="shared" si="5"/>
        <v>-4.572096258173719E-2</v>
      </c>
      <c r="D76" s="1">
        <v>152.77542099999999</v>
      </c>
      <c r="E76" s="1">
        <f t="shared" si="6"/>
        <v>2.9051576327550066E-3</v>
      </c>
      <c r="F76" s="1">
        <v>20.122667</v>
      </c>
      <c r="G76" s="1">
        <f t="shared" si="7"/>
        <v>2.5125595628816111E-2</v>
      </c>
      <c r="H76" s="1">
        <v>117.740257</v>
      </c>
      <c r="I76" s="1">
        <f t="shared" si="8"/>
        <v>5.7582395158730648E-3</v>
      </c>
      <c r="J76" s="1">
        <v>123.28304300000001</v>
      </c>
      <c r="K76" s="1">
        <f t="shared" si="9"/>
        <v>1.7330743836087681E-2</v>
      </c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5">
        <v>42891</v>
      </c>
      <c r="B77" s="1">
        <v>220.98841899999999</v>
      </c>
      <c r="C77" s="1">
        <f t="shared" si="5"/>
        <v>4.6312224898086285E-2</v>
      </c>
      <c r="D77" s="1">
        <v>151.29431199999999</v>
      </c>
      <c r="E77" s="1">
        <f t="shared" si="6"/>
        <v>-9.6946811882783201E-3</v>
      </c>
      <c r="F77" s="1">
        <v>20.369268000000002</v>
      </c>
      <c r="G77" s="1">
        <f t="shared" si="7"/>
        <v>1.2254886491934736E-2</v>
      </c>
      <c r="H77" s="1">
        <v>117.590096</v>
      </c>
      <c r="I77" s="1">
        <f t="shared" si="8"/>
        <v>-1.2753581810169834E-3</v>
      </c>
      <c r="J77" s="1">
        <v>122.34438299999999</v>
      </c>
      <c r="K77" s="1">
        <f t="shared" si="9"/>
        <v>-7.6138613807579247E-3</v>
      </c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5">
        <v>42898</v>
      </c>
      <c r="B78" s="1">
        <v>220.36253400000001</v>
      </c>
      <c r="C78" s="1">
        <f t="shared" si="5"/>
        <v>-2.8322072388778929E-3</v>
      </c>
      <c r="D78" s="1">
        <v>154.934235</v>
      </c>
      <c r="E78" s="1">
        <f t="shared" si="6"/>
        <v>2.4058558130063856E-2</v>
      </c>
      <c r="F78" s="1">
        <v>20.122667</v>
      </c>
      <c r="G78" s="1">
        <f t="shared" si="7"/>
        <v>-1.2106522433697808E-2</v>
      </c>
      <c r="H78" s="1">
        <v>118.363907</v>
      </c>
      <c r="I78" s="1">
        <f t="shared" si="8"/>
        <v>6.5805797114069087E-3</v>
      </c>
      <c r="J78" s="1">
        <v>124.262169</v>
      </c>
      <c r="K78" s="1">
        <f t="shared" si="9"/>
        <v>1.5675308935106713E-2</v>
      </c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5">
        <v>42905</v>
      </c>
      <c r="B79" s="1">
        <v>215.77269000000001</v>
      </c>
      <c r="C79" s="1">
        <f t="shared" si="5"/>
        <v>-2.0828604194576883E-2</v>
      </c>
      <c r="D79" s="1">
        <v>149.66227699999999</v>
      </c>
      <c r="E79" s="1">
        <f t="shared" si="6"/>
        <v>-3.4027069614407712E-2</v>
      </c>
      <c r="F79" s="1">
        <v>19.629465</v>
      </c>
      <c r="G79" s="1">
        <f t="shared" si="7"/>
        <v>-2.450977298386936E-2</v>
      </c>
      <c r="H79" s="1">
        <v>118.69695299999999</v>
      </c>
      <c r="I79" s="1">
        <f t="shared" si="8"/>
        <v>2.8137462545909653E-3</v>
      </c>
      <c r="J79" s="1">
        <v>125.668533</v>
      </c>
      <c r="K79" s="1">
        <f t="shared" si="9"/>
        <v>1.1317716496643371E-2</v>
      </c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5">
        <v>42912</v>
      </c>
      <c r="B80" s="1">
        <v>220.45193499999999</v>
      </c>
      <c r="C80" s="1">
        <f t="shared" si="5"/>
        <v>2.1685992791766084E-2</v>
      </c>
      <c r="D80" s="1">
        <v>151.72950700000001</v>
      </c>
      <c r="E80" s="1">
        <f t="shared" si="6"/>
        <v>1.3812632290767679E-2</v>
      </c>
      <c r="F80" s="1">
        <v>20.369268000000002</v>
      </c>
      <c r="G80" s="1">
        <f t="shared" si="7"/>
        <v>3.7688393443224388E-2</v>
      </c>
      <c r="H80" s="1">
        <v>118.040672</v>
      </c>
      <c r="I80" s="1">
        <f t="shared" si="8"/>
        <v>-5.5290467313006131E-3</v>
      </c>
      <c r="J80" s="1">
        <v>123.052498</v>
      </c>
      <c r="K80" s="1">
        <f t="shared" si="9"/>
        <v>-2.0816945479899873E-2</v>
      </c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5">
        <v>42919</v>
      </c>
      <c r="B81" s="1">
        <v>223.80987500000001</v>
      </c>
      <c r="C81" s="1">
        <f t="shared" si="5"/>
        <v>1.5232073150095005E-2</v>
      </c>
      <c r="D81" s="1">
        <v>150.57225</v>
      </c>
      <c r="E81" s="1">
        <f t="shared" si="6"/>
        <v>-7.6271057810792797E-3</v>
      </c>
      <c r="F81" s="1">
        <v>20.221308000000001</v>
      </c>
      <c r="G81" s="1">
        <f t="shared" si="7"/>
        <v>-7.2638840040791797E-3</v>
      </c>
      <c r="H81" s="1">
        <v>117.266869</v>
      </c>
      <c r="I81" s="1">
        <f t="shared" si="8"/>
        <v>-6.5553930428319251E-3</v>
      </c>
      <c r="J81" s="1">
        <v>120.692162</v>
      </c>
      <c r="K81" s="1">
        <f t="shared" si="9"/>
        <v>-1.9181536647878583E-2</v>
      </c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5">
        <v>42926</v>
      </c>
      <c r="B82" s="1">
        <v>227.10823099999999</v>
      </c>
      <c r="C82" s="1">
        <f t="shared" si="5"/>
        <v>1.4737312194111007E-2</v>
      </c>
      <c r="D82" s="1">
        <v>151.21519499999999</v>
      </c>
      <c r="E82" s="1">
        <f t="shared" si="6"/>
        <v>4.2700099121850688E-3</v>
      </c>
      <c r="F82" s="1">
        <v>20.122667</v>
      </c>
      <c r="G82" s="1">
        <f t="shared" si="7"/>
        <v>-4.8780721800983917E-3</v>
      </c>
      <c r="H82" s="1">
        <v>118.413887</v>
      </c>
      <c r="I82" s="1">
        <f t="shared" si="8"/>
        <v>9.7812622591637588E-3</v>
      </c>
      <c r="J82" s="1">
        <v>121.542694</v>
      </c>
      <c r="K82" s="1">
        <f t="shared" si="9"/>
        <v>7.0471187681599989E-3</v>
      </c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5">
        <v>42933</v>
      </c>
      <c r="B83" s="1">
        <v>218.74316400000001</v>
      </c>
      <c r="C83" s="1">
        <f t="shared" si="5"/>
        <v>-3.6832953887963593E-2</v>
      </c>
      <c r="D83" s="1">
        <v>145.05302399999999</v>
      </c>
      <c r="E83" s="1">
        <f t="shared" si="6"/>
        <v>-4.0751003892168347E-2</v>
      </c>
      <c r="F83" s="1">
        <v>22.983242000000001</v>
      </c>
      <c r="G83" s="1">
        <f t="shared" si="7"/>
        <v>0.14215685227012909</v>
      </c>
      <c r="H83" s="1">
        <v>119.376366</v>
      </c>
      <c r="I83" s="1">
        <f t="shared" si="8"/>
        <v>8.1280922735016414E-3</v>
      </c>
      <c r="J83" s="1">
        <v>123.86850699999999</v>
      </c>
      <c r="K83" s="1">
        <f t="shared" si="9"/>
        <v>1.9135769690936666E-2</v>
      </c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5">
        <v>42940</v>
      </c>
      <c r="B84" s="1">
        <v>222.15078700000001</v>
      </c>
      <c r="C84" s="1">
        <f t="shared" si="5"/>
        <v>1.5578191965806898E-2</v>
      </c>
      <c r="D84" s="1">
        <v>146.46745300000001</v>
      </c>
      <c r="E84" s="1">
        <f t="shared" si="6"/>
        <v>9.7511169432773492E-3</v>
      </c>
      <c r="F84" s="1">
        <v>22.884604</v>
      </c>
      <c r="G84" s="1">
        <f t="shared" si="7"/>
        <v>-4.2917356915965765E-3</v>
      </c>
      <c r="H84" s="1">
        <v>118.944221</v>
      </c>
      <c r="I84" s="1">
        <f t="shared" si="8"/>
        <v>-3.6200214035666534E-3</v>
      </c>
      <c r="J84" s="1">
        <v>122.094582</v>
      </c>
      <c r="K84" s="1">
        <f t="shared" si="9"/>
        <v>-1.4321033190462185E-2</v>
      </c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5">
        <v>42947</v>
      </c>
      <c r="B85" s="1">
        <v>228.29045099999999</v>
      </c>
      <c r="C85" s="1">
        <f t="shared" si="5"/>
        <v>2.7637372268233262E-2</v>
      </c>
      <c r="D85" s="1">
        <v>151.08659399999999</v>
      </c>
      <c r="E85" s="1">
        <f t="shared" si="6"/>
        <v>3.1536979072067206E-2</v>
      </c>
      <c r="F85" s="1">
        <v>22.1448</v>
      </c>
      <c r="G85" s="1">
        <f t="shared" si="7"/>
        <v>-3.2327585830193906E-2</v>
      </c>
      <c r="H85" s="1">
        <v>118.58084100000001</v>
      </c>
      <c r="I85" s="1">
        <f t="shared" si="8"/>
        <v>-3.055045440164661E-3</v>
      </c>
      <c r="J85" s="1">
        <v>123.119507</v>
      </c>
      <c r="K85" s="1">
        <f t="shared" si="9"/>
        <v>8.394516637929117E-3</v>
      </c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5">
        <v>42954</v>
      </c>
      <c r="B86" s="1">
        <v>222.68727100000001</v>
      </c>
      <c r="C86" s="1">
        <f t="shared" si="5"/>
        <v>-2.4544083974848308E-2</v>
      </c>
      <c r="D86" s="1">
        <v>153.19340500000001</v>
      </c>
      <c r="E86" s="1">
        <f t="shared" si="6"/>
        <v>1.3944394034059782E-2</v>
      </c>
      <c r="F86" s="1">
        <v>21.586483000000001</v>
      </c>
      <c r="G86" s="1">
        <f t="shared" si="7"/>
        <v>-2.5212103970232214E-2</v>
      </c>
      <c r="H86" s="1">
        <v>118.646843</v>
      </c>
      <c r="I86" s="1">
        <f t="shared" si="8"/>
        <v>5.5659918957728927E-4</v>
      </c>
      <c r="J86" s="1">
        <v>124.868561</v>
      </c>
      <c r="K86" s="1">
        <f t="shared" si="9"/>
        <v>1.4206148502527771E-2</v>
      </c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5">
        <v>42961</v>
      </c>
      <c r="B87" s="1">
        <v>220.70031700000001</v>
      </c>
      <c r="C87" s="1">
        <f t="shared" si="5"/>
        <v>-8.9226204581760449E-3</v>
      </c>
      <c r="D87" s="1">
        <v>145.883881</v>
      </c>
      <c r="E87" s="1">
        <f t="shared" si="6"/>
        <v>-4.7714351671992783E-2</v>
      </c>
      <c r="F87" s="1">
        <v>21.388442999999999</v>
      </c>
      <c r="G87" s="1">
        <f t="shared" si="7"/>
        <v>-9.1742596512828234E-3</v>
      </c>
      <c r="H87" s="1">
        <v>118.80439800000001</v>
      </c>
      <c r="I87" s="1">
        <f t="shared" si="8"/>
        <v>1.3279325097592665E-3</v>
      </c>
      <c r="J87" s="1">
        <v>125.056229</v>
      </c>
      <c r="K87" s="1">
        <f t="shared" si="9"/>
        <v>1.5029243429818262E-3</v>
      </c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5">
        <v>42968</v>
      </c>
      <c r="B88" s="1">
        <v>221.01821899999999</v>
      </c>
      <c r="C88" s="1">
        <f t="shared" si="5"/>
        <v>1.4404238485981047E-3</v>
      </c>
      <c r="D88" s="1">
        <v>148.02034</v>
      </c>
      <c r="E88" s="1">
        <f t="shared" si="6"/>
        <v>1.4644928455118444E-2</v>
      </c>
      <c r="F88" s="1">
        <v>22.032076</v>
      </c>
      <c r="G88" s="1">
        <f t="shared" si="7"/>
        <v>3.0092559799701268E-2</v>
      </c>
      <c r="H88" s="1">
        <v>119.355835</v>
      </c>
      <c r="I88" s="1">
        <f t="shared" si="8"/>
        <v>4.6415537579678201E-3</v>
      </c>
      <c r="J88" s="1">
        <v>125.747574</v>
      </c>
      <c r="K88" s="1">
        <f t="shared" si="9"/>
        <v>5.5282732058072881E-3</v>
      </c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5">
        <v>42975</v>
      </c>
      <c r="B89" s="1">
        <v>224.405991</v>
      </c>
      <c r="C89" s="1">
        <f t="shared" si="5"/>
        <v>1.5328021442431394E-2</v>
      </c>
      <c r="D89" s="1">
        <v>149.138046</v>
      </c>
      <c r="E89" s="1">
        <f t="shared" si="6"/>
        <v>7.5510298111731711E-3</v>
      </c>
      <c r="F89" s="1">
        <v>22.032076</v>
      </c>
      <c r="G89" s="1">
        <f t="shared" si="7"/>
        <v>0</v>
      </c>
      <c r="H89" s="1">
        <v>118.961952</v>
      </c>
      <c r="I89" s="1">
        <f t="shared" si="8"/>
        <v>-3.3000732641181862E-3</v>
      </c>
      <c r="J89" s="1">
        <v>125.18461600000001</v>
      </c>
      <c r="K89" s="1">
        <f t="shared" si="9"/>
        <v>-4.4768895501713368E-3</v>
      </c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5">
        <v>42982</v>
      </c>
      <c r="B90" s="1">
        <v>216.52955600000001</v>
      </c>
      <c r="C90" s="1">
        <f t="shared" si="5"/>
        <v>-3.5099040649052893E-2</v>
      </c>
      <c r="D90" s="1">
        <v>158.85524000000001</v>
      </c>
      <c r="E90" s="1">
        <f t="shared" si="6"/>
        <v>6.5155701449917114E-2</v>
      </c>
      <c r="F90" s="1">
        <v>21.487463000000002</v>
      </c>
      <c r="G90" s="1">
        <f t="shared" si="7"/>
        <v>-2.4719095921782341E-2</v>
      </c>
      <c r="H90" s="1">
        <v>119.70034800000001</v>
      </c>
      <c r="I90" s="1">
        <f t="shared" si="8"/>
        <v>6.2069929720049988E-3</v>
      </c>
      <c r="J90" s="1">
        <v>127.66918200000001</v>
      </c>
      <c r="K90" s="1">
        <f t="shared" si="9"/>
        <v>1.9847215092308135E-2</v>
      </c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5">
        <v>42989</v>
      </c>
      <c r="B91" s="1">
        <v>224.51445000000001</v>
      </c>
      <c r="C91" s="1">
        <f t="shared" si="5"/>
        <v>3.6876693175318831E-2</v>
      </c>
      <c r="D91" s="1">
        <v>157.60157799999999</v>
      </c>
      <c r="E91" s="1">
        <f t="shared" si="6"/>
        <v>-7.8918517261377108E-3</v>
      </c>
      <c r="F91" s="1">
        <v>22.230118000000001</v>
      </c>
      <c r="G91" s="1">
        <f t="shared" si="7"/>
        <v>3.4562246832024801E-2</v>
      </c>
      <c r="H91" s="1">
        <v>119.48313899999999</v>
      </c>
      <c r="I91" s="1">
        <f t="shared" si="8"/>
        <v>-1.8146062532751195E-3</v>
      </c>
      <c r="J91" s="1">
        <v>125.551247</v>
      </c>
      <c r="K91" s="1">
        <f t="shared" si="9"/>
        <v>-1.6589242343543864E-2</v>
      </c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5">
        <v>42996</v>
      </c>
      <c r="B92" s="1">
        <v>230.30624399999999</v>
      </c>
      <c r="C92" s="1">
        <f t="shared" si="5"/>
        <v>2.579697654204427E-2</v>
      </c>
      <c r="D92" s="1">
        <v>159.163681</v>
      </c>
      <c r="E92" s="1">
        <f t="shared" si="6"/>
        <v>9.9117218229884951E-3</v>
      </c>
      <c r="F92" s="1">
        <v>22.428158</v>
      </c>
      <c r="G92" s="1">
        <f t="shared" si="7"/>
        <v>8.9086346730142818E-3</v>
      </c>
      <c r="H92" s="1">
        <v>119.443657</v>
      </c>
      <c r="I92" s="1">
        <f t="shared" si="8"/>
        <v>-3.3043992926895527E-4</v>
      </c>
      <c r="J92" s="1">
        <v>124.898056</v>
      </c>
      <c r="K92" s="1">
        <f t="shared" si="9"/>
        <v>-5.2025847262194835E-3</v>
      </c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5">
        <v>43003</v>
      </c>
      <c r="B93" s="1">
        <v>236.44695999999999</v>
      </c>
      <c r="C93" s="1">
        <f t="shared" si="5"/>
        <v>2.6663263198369869E-2</v>
      </c>
      <c r="D93" s="1">
        <v>162.73558</v>
      </c>
      <c r="E93" s="1">
        <f t="shared" si="6"/>
        <v>2.2441671225233772E-2</v>
      </c>
      <c r="F93" s="1">
        <v>23.764935000000001</v>
      </c>
      <c r="G93" s="1">
        <f t="shared" si="7"/>
        <v>5.9602620955318875E-2</v>
      </c>
      <c r="H93" s="1">
        <v>119.69047500000001</v>
      </c>
      <c r="I93" s="1">
        <f t="shared" si="8"/>
        <v>2.0663968786556186E-3</v>
      </c>
      <c r="J93" s="1">
        <v>123.472916</v>
      </c>
      <c r="K93" s="1">
        <f t="shared" si="9"/>
        <v>-1.1410425795578383E-2</v>
      </c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5">
        <v>43010</v>
      </c>
      <c r="B94" s="1">
        <v>245.24929800000001</v>
      </c>
      <c r="C94" s="1">
        <f t="shared" si="5"/>
        <v>3.7227537203269767E-2</v>
      </c>
      <c r="D94" s="1">
        <v>165.014038</v>
      </c>
      <c r="E94" s="1">
        <f t="shared" si="6"/>
        <v>1.400098245263881E-2</v>
      </c>
      <c r="F94" s="1">
        <v>24.012487</v>
      </c>
      <c r="G94" s="1">
        <f t="shared" si="7"/>
        <v>1.0416691650955379E-2</v>
      </c>
      <c r="H94" s="1">
        <v>119.414024</v>
      </c>
      <c r="I94" s="1">
        <f t="shared" si="8"/>
        <v>-2.3097159569298586E-3</v>
      </c>
      <c r="J94" s="1">
        <v>122.31498000000001</v>
      </c>
      <c r="K94" s="1">
        <f t="shared" si="9"/>
        <v>-9.3780566419925382E-3</v>
      </c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5">
        <v>43017</v>
      </c>
      <c r="B95" s="1">
        <v>237.78276099999999</v>
      </c>
      <c r="C95" s="1">
        <f t="shared" si="5"/>
        <v>-3.0444682455319505E-2</v>
      </c>
      <c r="D95" s="1">
        <v>163.64099100000001</v>
      </c>
      <c r="E95" s="1">
        <f t="shared" si="6"/>
        <v>-8.3207890470505808E-3</v>
      </c>
      <c r="F95" s="1">
        <v>23.962978</v>
      </c>
      <c r="G95" s="1">
        <f t="shared" si="7"/>
        <v>-2.0618022614650178E-3</v>
      </c>
      <c r="H95" s="1">
        <v>120.356697</v>
      </c>
      <c r="I95" s="1">
        <f t="shared" si="8"/>
        <v>7.8941565523324986E-3</v>
      </c>
      <c r="J95" s="1">
        <v>124.803749</v>
      </c>
      <c r="K95" s="1">
        <f t="shared" si="9"/>
        <v>2.034721339937251E-2</v>
      </c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5">
        <v>43024</v>
      </c>
      <c r="B96" s="1">
        <v>243.96333300000001</v>
      </c>
      <c r="C96" s="1">
        <f t="shared" si="5"/>
        <v>2.5992515075556666E-2</v>
      </c>
      <c r="D96" s="1">
        <v>162.60623200000001</v>
      </c>
      <c r="E96" s="1">
        <f t="shared" si="6"/>
        <v>-6.3233484084681546E-3</v>
      </c>
      <c r="F96" s="1">
        <v>21.735016000000002</v>
      </c>
      <c r="G96" s="1">
        <f t="shared" si="7"/>
        <v>-9.2975171950664848E-2</v>
      </c>
      <c r="H96" s="1">
        <v>119.841927</v>
      </c>
      <c r="I96" s="1">
        <f t="shared" si="8"/>
        <v>-4.2770366155860939E-3</v>
      </c>
      <c r="J96" s="1">
        <v>122.949303</v>
      </c>
      <c r="K96" s="1">
        <f t="shared" si="9"/>
        <v>-1.485889658651196E-2</v>
      </c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5">
        <v>43031</v>
      </c>
      <c r="B97" s="1">
        <v>240.95280500000001</v>
      </c>
      <c r="C97" s="1">
        <f t="shared" si="5"/>
        <v>-1.2340083909248789E-2</v>
      </c>
      <c r="D97" s="1">
        <v>166.496521</v>
      </c>
      <c r="E97" s="1">
        <f t="shared" si="6"/>
        <v>2.3924599642650923E-2</v>
      </c>
      <c r="F97" s="1">
        <v>21.190401000000001</v>
      </c>
      <c r="G97" s="1">
        <f t="shared" si="7"/>
        <v>-2.5057032394179113E-2</v>
      </c>
      <c r="H97" s="1">
        <v>119.69343600000001</v>
      </c>
      <c r="I97" s="1">
        <f t="shared" si="8"/>
        <v>-1.2390571790454885E-3</v>
      </c>
      <c r="J97" s="1">
        <v>122.215446</v>
      </c>
      <c r="K97" s="1">
        <f t="shared" si="9"/>
        <v>-5.968777228448352E-3</v>
      </c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5">
        <v>43038</v>
      </c>
      <c r="B98" s="1">
        <v>243.63436899999999</v>
      </c>
      <c r="C98" s="1">
        <f t="shared" si="5"/>
        <v>1.112900096763747E-2</v>
      </c>
      <c r="D98" s="1">
        <v>163.56140099999999</v>
      </c>
      <c r="E98" s="1">
        <f t="shared" si="6"/>
        <v>-1.7628716698530944E-2</v>
      </c>
      <c r="F98" s="1">
        <v>20.645788</v>
      </c>
      <c r="G98" s="1">
        <f t="shared" si="7"/>
        <v>-2.5700929397230454E-2</v>
      </c>
      <c r="H98" s="1">
        <v>119.911224</v>
      </c>
      <c r="I98" s="1">
        <f t="shared" si="8"/>
        <v>1.8195484002982987E-3</v>
      </c>
      <c r="J98" s="1">
        <v>124.595505</v>
      </c>
      <c r="K98" s="1">
        <f t="shared" si="9"/>
        <v>1.9474289690028179E-2</v>
      </c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5">
        <v>43045</v>
      </c>
      <c r="B99" s="1">
        <v>239.39767499999999</v>
      </c>
      <c r="C99" s="1">
        <f t="shared" si="5"/>
        <v>-1.7389558038915287E-2</v>
      </c>
      <c r="D99" s="1">
        <v>163.28280599999999</v>
      </c>
      <c r="E99" s="1">
        <f t="shared" si="6"/>
        <v>-1.7033052926710424E-3</v>
      </c>
      <c r="F99" s="1">
        <v>20.534924</v>
      </c>
      <c r="G99" s="1">
        <f t="shared" si="7"/>
        <v>-5.3698119926446353E-3</v>
      </c>
      <c r="H99" s="1">
        <v>118.999031</v>
      </c>
      <c r="I99" s="1">
        <f t="shared" si="8"/>
        <v>-7.6072361666494892E-3</v>
      </c>
      <c r="J99" s="1">
        <v>123.32891100000001</v>
      </c>
      <c r="K99" s="1">
        <f t="shared" si="9"/>
        <v>-1.0165647629101882E-2</v>
      </c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5">
        <v>43052</v>
      </c>
      <c r="B100" s="1">
        <v>237.27435299999999</v>
      </c>
      <c r="C100" s="1">
        <f t="shared" si="5"/>
        <v>-8.8694345089190829E-3</v>
      </c>
      <c r="D100" s="1">
        <v>166.89451600000001</v>
      </c>
      <c r="E100" s="1">
        <f t="shared" si="6"/>
        <v>2.2119352848456231E-2</v>
      </c>
      <c r="F100" s="1">
        <v>21.131578000000001</v>
      </c>
      <c r="G100" s="1">
        <f t="shared" si="7"/>
        <v>2.9055573811717084E-2</v>
      </c>
      <c r="H100" s="1">
        <v>119.564796</v>
      </c>
      <c r="I100" s="1">
        <f t="shared" si="8"/>
        <v>4.7543664452192047E-3</v>
      </c>
      <c r="J100" s="1">
        <v>125.60468299999999</v>
      </c>
      <c r="K100" s="1">
        <f t="shared" si="9"/>
        <v>1.8452867065371192E-2</v>
      </c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5">
        <v>43059</v>
      </c>
      <c r="B101" s="1">
        <v>235.21083100000001</v>
      </c>
      <c r="C101" s="1">
        <f t="shared" si="5"/>
        <v>-8.6967764274126225E-3</v>
      </c>
      <c r="D101" s="1">
        <v>171.46137999999999</v>
      </c>
      <c r="E101" s="1">
        <f t="shared" si="6"/>
        <v>2.7363775092525966E-2</v>
      </c>
      <c r="F101" s="1">
        <v>22.175727999999999</v>
      </c>
      <c r="G101" s="1">
        <f t="shared" si="7"/>
        <v>4.9411832850343673E-2</v>
      </c>
      <c r="H101" s="1">
        <v>120.28937500000001</v>
      </c>
      <c r="I101" s="1">
        <f t="shared" si="8"/>
        <v>6.0601366308525861E-3</v>
      </c>
      <c r="J101" s="1">
        <v>126.01213799999999</v>
      </c>
      <c r="K101" s="1">
        <f t="shared" si="9"/>
        <v>3.2439475206509361E-3</v>
      </c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5">
        <v>43066</v>
      </c>
      <c r="B102" s="1">
        <v>248.17010500000001</v>
      </c>
      <c r="C102" s="1">
        <f t="shared" si="5"/>
        <v>5.5096416882264965E-2</v>
      </c>
      <c r="D102" s="1">
        <v>179.51059000000001</v>
      </c>
      <c r="E102" s="1">
        <f t="shared" si="6"/>
        <v>4.6944740559069498E-2</v>
      </c>
      <c r="F102" s="1">
        <v>22.672941000000002</v>
      </c>
      <c r="G102" s="1">
        <f t="shared" si="7"/>
        <v>2.2421496151107334E-2</v>
      </c>
      <c r="H102" s="1">
        <v>119.822868</v>
      </c>
      <c r="I102" s="1">
        <f t="shared" si="8"/>
        <v>-3.8782062006723628E-3</v>
      </c>
      <c r="J102" s="1">
        <v>125.763687</v>
      </c>
      <c r="K102" s="1">
        <f t="shared" si="9"/>
        <v>-1.9716433983525405E-3</v>
      </c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5">
        <v>43073</v>
      </c>
      <c r="B103" s="1">
        <v>250.35000600000001</v>
      </c>
      <c r="C103" s="1">
        <f t="shared" si="5"/>
        <v>8.7838984473975756E-3</v>
      </c>
      <c r="D103" s="1">
        <v>183.41000399999999</v>
      </c>
      <c r="E103" s="1">
        <f t="shared" si="6"/>
        <v>2.1722473309234713E-2</v>
      </c>
      <c r="F103" s="1">
        <v>22.026564</v>
      </c>
      <c r="G103" s="1">
        <f t="shared" si="7"/>
        <v>-2.8508740881917349E-2</v>
      </c>
      <c r="H103" s="1">
        <v>120.40222199999999</v>
      </c>
      <c r="I103" s="1">
        <f t="shared" si="8"/>
        <v>4.8350870720270667E-3</v>
      </c>
      <c r="J103" s="1">
        <v>126.159943</v>
      </c>
      <c r="K103" s="1">
        <f t="shared" si="9"/>
        <v>3.1507982109333366E-3</v>
      </c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5">
        <v>43080</v>
      </c>
      <c r="B104" s="1">
        <v>257.17001299999998</v>
      </c>
      <c r="C104" s="1">
        <f t="shared" si="5"/>
        <v>2.7241888702011829E-2</v>
      </c>
      <c r="D104" s="1">
        <v>182.58000200000001</v>
      </c>
      <c r="E104" s="1">
        <f t="shared" si="6"/>
        <v>-4.5253911013489745E-3</v>
      </c>
      <c r="F104" s="1">
        <v>21.777956</v>
      </c>
      <c r="G104" s="1">
        <f t="shared" si="7"/>
        <v>-1.128673541638181E-2</v>
      </c>
      <c r="H104" s="1">
        <v>121.20835099999999</v>
      </c>
      <c r="I104" s="1">
        <f t="shared" si="8"/>
        <v>6.6953000252769623E-3</v>
      </c>
      <c r="J104" s="1">
        <v>127.812996</v>
      </c>
      <c r="K104" s="1">
        <f t="shared" si="9"/>
        <v>1.3102835659968504E-2</v>
      </c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5">
        <v>43087</v>
      </c>
      <c r="B105" s="1">
        <v>258.97000100000002</v>
      </c>
      <c r="C105" s="1">
        <f t="shared" si="5"/>
        <v>6.9992141735437663E-3</v>
      </c>
      <c r="D105" s="1">
        <v>188.13000500000001</v>
      </c>
      <c r="E105" s="1">
        <f t="shared" si="6"/>
        <v>3.0397650012075283E-2</v>
      </c>
      <c r="F105" s="1">
        <v>22.424334000000002</v>
      </c>
      <c r="G105" s="1">
        <f t="shared" si="7"/>
        <v>2.9680379554444913E-2</v>
      </c>
      <c r="H105" s="1">
        <v>120.07379899999999</v>
      </c>
      <c r="I105" s="1">
        <f t="shared" si="8"/>
        <v>-9.3603451465155141E-3</v>
      </c>
      <c r="J105" s="1">
        <v>124.24797100000001</v>
      </c>
      <c r="K105" s="1">
        <f t="shared" si="9"/>
        <v>-2.7892507894893503E-2</v>
      </c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5">
        <v>43094</v>
      </c>
      <c r="B106" s="1">
        <v>254.759995</v>
      </c>
      <c r="C106" s="1">
        <f t="shared" si="5"/>
        <v>-1.6256732377276428E-2</v>
      </c>
      <c r="D106" s="1">
        <v>189.529999</v>
      </c>
      <c r="E106" s="1">
        <f t="shared" si="6"/>
        <v>7.4416305894426937E-3</v>
      </c>
      <c r="F106" s="1">
        <v>19.242167999999999</v>
      </c>
      <c r="G106" s="1">
        <f t="shared" si="7"/>
        <v>-0.14190682318591941</v>
      </c>
      <c r="H106" s="1">
        <v>121.235016</v>
      </c>
      <c r="I106" s="1">
        <f t="shared" si="8"/>
        <v>9.6708608345106306E-3</v>
      </c>
      <c r="J106" s="1">
        <v>126.596413</v>
      </c>
      <c r="K106" s="1">
        <f t="shared" si="9"/>
        <v>1.8901250306936568E-2</v>
      </c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n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E1000"/>
  <sheetViews>
    <sheetView tabSelected="1" topLeftCell="L29" workbookViewId="0">
      <selection activeCell="S23" sqref="S23"/>
    </sheetView>
  </sheetViews>
  <sheetFormatPr baseColWidth="10" defaultColWidth="10.83203125" defaultRowHeight="16" x14ac:dyDescent="0.2"/>
  <cols>
    <col min="1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2" t="s">
        <v>1</v>
      </c>
      <c r="C1" s="1" t="s">
        <v>2</v>
      </c>
      <c r="D1" s="2" t="s">
        <v>3</v>
      </c>
      <c r="E1" s="1" t="s">
        <v>2</v>
      </c>
      <c r="F1" s="2" t="s">
        <v>4</v>
      </c>
      <c r="G1" s="1" t="s">
        <v>2</v>
      </c>
      <c r="H1" s="2" t="s">
        <v>5</v>
      </c>
      <c r="I1" s="1" t="s">
        <v>2</v>
      </c>
      <c r="J1" s="2" t="s">
        <v>6</v>
      </c>
      <c r="K1" s="1" t="s">
        <v>2</v>
      </c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5">
        <v>42366</v>
      </c>
      <c r="B2" s="1">
        <v>175.26364100000001</v>
      </c>
      <c r="C2" s="1"/>
      <c r="D2" s="1">
        <v>126.577583</v>
      </c>
      <c r="E2" s="1"/>
      <c r="F2" s="1">
        <v>16.512884</v>
      </c>
      <c r="G2" s="1"/>
      <c r="H2" s="1">
        <v>106.62969200000001</v>
      </c>
      <c r="I2" s="1"/>
      <c r="J2" s="1">
        <v>114.606506</v>
      </c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5">
        <v>42373</v>
      </c>
      <c r="B3" s="1">
        <v>159.42253099999999</v>
      </c>
      <c r="C3" s="1">
        <f>B3/B2-1</f>
        <v>-9.03844625708764E-2</v>
      </c>
      <c r="D3" s="1">
        <v>118.585739</v>
      </c>
      <c r="E3" s="1">
        <f>D3/D2-1</f>
        <v>-6.3137909656562186E-2</v>
      </c>
      <c r="F3" s="1">
        <v>16.474526999999998</v>
      </c>
      <c r="G3" s="1">
        <f>F3/F2-1</f>
        <v>-2.3228528705222518E-3</v>
      </c>
      <c r="H3" s="1">
        <v>107.218925</v>
      </c>
      <c r="I3" s="1">
        <f>H3/H2-1</f>
        <v>5.5259748851190782E-3</v>
      </c>
      <c r="J3" s="1">
        <v>117.24881000000001</v>
      </c>
      <c r="K3" s="1">
        <f>J3/J2-1</f>
        <v>2.3055445037300171E-2</v>
      </c>
      <c r="L3" s="1"/>
      <c r="M3" s="40"/>
      <c r="N3" s="40" t="s">
        <v>1</v>
      </c>
      <c r="O3" s="40" t="s">
        <v>3</v>
      </c>
      <c r="P3" s="40" t="s">
        <v>4</v>
      </c>
      <c r="Q3" s="40" t="s">
        <v>5</v>
      </c>
      <c r="R3" s="40" t="s">
        <v>6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5">
        <v>42380</v>
      </c>
      <c r="B4" s="1">
        <v>151.32208299999999</v>
      </c>
      <c r="C4" s="1">
        <f t="shared" ref="C4:C67" si="0">B4/B3-1</f>
        <v>-5.0811186782626083E-2</v>
      </c>
      <c r="D4" s="1">
        <v>114.116035</v>
      </c>
      <c r="E4" s="1">
        <f t="shared" ref="E4:E67" si="1">D4/D3-1</f>
        <v>-3.7691749764278248E-2</v>
      </c>
      <c r="F4" s="1">
        <v>16.675901</v>
      </c>
      <c r="G4" s="1">
        <f t="shared" ref="G4:G67" si="2">F4/F3-1</f>
        <v>1.2223355486928433E-2</v>
      </c>
      <c r="H4" s="1">
        <v>106.75129699999999</v>
      </c>
      <c r="I4" s="1">
        <f t="shared" ref="I4:I67" si="3">H4/H3-1</f>
        <v>-4.3614315289954853E-3</v>
      </c>
      <c r="J4" s="1">
        <v>119.520393</v>
      </c>
      <c r="K4" s="1">
        <f t="shared" ref="K4:K67" si="4">J4/J3-1</f>
        <v>1.9374038849520048E-2</v>
      </c>
      <c r="L4" s="1"/>
      <c r="M4" s="40" t="s">
        <v>1</v>
      </c>
      <c r="N4" s="36">
        <f>VAR(C3:C106)</f>
        <v>1.2016818359347886E-3</v>
      </c>
      <c r="O4" s="36">
        <f>COVAR(E3:E106, C3:C106)</f>
        <v>3.4201059896953165E-4</v>
      </c>
      <c r="P4" s="36">
        <f>COVAR(G3:G106, C3:C106)</f>
        <v>3.3463779479559001E-4</v>
      </c>
      <c r="Q4" s="36">
        <f>COVAR(I3:I106, C3:C106)</f>
        <v>-7.7579938106753287E-5</v>
      </c>
      <c r="R4" s="36">
        <f>COVAR(K3:K106, C3:C106)</f>
        <v>-3.3666110518404196E-4</v>
      </c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5">
        <v>42387</v>
      </c>
      <c r="B5" s="1">
        <v>152.53762800000001</v>
      </c>
      <c r="C5" s="1">
        <f t="shared" si="0"/>
        <v>8.0328328549377215E-3</v>
      </c>
      <c r="D5" s="1">
        <v>117.494629</v>
      </c>
      <c r="E5" s="1">
        <f t="shared" si="1"/>
        <v>2.9606654314619396E-2</v>
      </c>
      <c r="F5" s="1">
        <v>18.06636</v>
      </c>
      <c r="G5" s="1">
        <f t="shared" si="2"/>
        <v>8.3381341733798964E-2</v>
      </c>
      <c r="H5" s="1">
        <v>106.190117</v>
      </c>
      <c r="I5" s="1">
        <f t="shared" si="3"/>
        <v>-5.2568916328949999E-3</v>
      </c>
      <c r="J5" s="1">
        <v>119.130707</v>
      </c>
      <c r="K5" s="1">
        <f t="shared" si="4"/>
        <v>-3.2604143127273888E-3</v>
      </c>
      <c r="L5" s="1"/>
      <c r="M5" s="40" t="s">
        <v>3</v>
      </c>
      <c r="N5" s="36">
        <f>COVAR(C3:C106, E3:E106)</f>
        <v>3.4201059896953165E-4</v>
      </c>
      <c r="O5" s="36">
        <f>VAR(E3:E106)</f>
        <v>5.5439476184456003E-4</v>
      </c>
      <c r="P5" s="36">
        <f>COVAR(G3:G106, E3:E106)</f>
        <v>2.5583758396945241E-4</v>
      </c>
      <c r="Q5" s="36">
        <f>COVAR(I3:I106, E3:E106)</f>
        <v>1.5283618061714417E-5</v>
      </c>
      <c r="R5" s="39">
        <f>COVAR(K3:K106, E3:E106)</f>
        <v>-6.1659141131778234E-5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5">
        <v>42394</v>
      </c>
      <c r="B6" s="1">
        <v>157.108124</v>
      </c>
      <c r="C6" s="1">
        <f t="shared" si="0"/>
        <v>2.9963072455800877E-2</v>
      </c>
      <c r="D6" s="1">
        <v>120.365967</v>
      </c>
      <c r="E6" s="1">
        <f t="shared" si="1"/>
        <v>2.4438036227170779E-2</v>
      </c>
      <c r="F6" s="1">
        <v>17.414283999999999</v>
      </c>
      <c r="G6" s="1">
        <f t="shared" si="2"/>
        <v>-3.6093380182837143E-2</v>
      </c>
      <c r="H6" s="1">
        <v>106.76062</v>
      </c>
      <c r="I6" s="1">
        <f t="shared" si="3"/>
        <v>5.372467948217885E-3</v>
      </c>
      <c r="J6" s="1">
        <v>120.993629</v>
      </c>
      <c r="K6" s="1">
        <f t="shared" si="4"/>
        <v>1.5637630690800819E-2</v>
      </c>
      <c r="L6" s="1"/>
      <c r="M6" s="40" t="s">
        <v>4</v>
      </c>
      <c r="N6" s="39">
        <f>COVAR(C3:C106, G3:G106)</f>
        <v>3.3463779479559001E-4</v>
      </c>
      <c r="O6" s="39">
        <f>COVAR(E3:E106, G3:G106)</f>
        <v>2.5583758396945241E-4</v>
      </c>
      <c r="P6" s="36">
        <f>VAR(G3:G106)</f>
        <v>1.406993106436064E-3</v>
      </c>
      <c r="Q6" s="36">
        <f>COVAR(I3:I106, G3:G106)</f>
        <v>9.0891601916951924E-6</v>
      </c>
      <c r="R6" s="36">
        <f>COVAR(K3:K106, G3:G106)</f>
        <v>-5.677805302291944E-5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5">
        <v>42401</v>
      </c>
      <c r="B7" s="1">
        <v>152.15838600000001</v>
      </c>
      <c r="C7" s="1">
        <f t="shared" si="0"/>
        <v>-3.1505296314275899E-2</v>
      </c>
      <c r="D7" s="1">
        <v>111.436127</v>
      </c>
      <c r="E7" s="1">
        <f t="shared" si="1"/>
        <v>-7.4189077050326069E-2</v>
      </c>
      <c r="F7" s="1">
        <v>17.53895</v>
      </c>
      <c r="G7" s="1">
        <f t="shared" si="2"/>
        <v>7.1588358154719423E-3</v>
      </c>
      <c r="H7" s="1">
        <v>106.06852000000001</v>
      </c>
      <c r="I7" s="1">
        <f t="shared" si="3"/>
        <v>-6.4827274326432205E-3</v>
      </c>
      <c r="J7" s="1">
        <v>122.3433</v>
      </c>
      <c r="K7" s="1">
        <f t="shared" si="4"/>
        <v>1.1154893122513165E-2</v>
      </c>
      <c r="L7" s="1"/>
      <c r="M7" s="40" t="s">
        <v>5</v>
      </c>
      <c r="N7" s="39">
        <f>COVAR(C3:C106, I3:I106)</f>
        <v>-7.7579938106753287E-5</v>
      </c>
      <c r="O7" s="36">
        <f>COVAR(E3:E106, I3:I106)</f>
        <v>1.5283618061714417E-5</v>
      </c>
      <c r="P7" s="36">
        <f>COVAR(G3:G106, I3:I106)</f>
        <v>9.0891601916951924E-6</v>
      </c>
      <c r="Q7" s="36">
        <f>VAR(I3:I106)</f>
        <v>4.6974164240222694E-5</v>
      </c>
      <c r="R7" s="36">
        <f>COVAR(K3:K106, I3:I106)</f>
        <v>8.5489117070013942E-5</v>
      </c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5">
        <v>42408</v>
      </c>
      <c r="B8" s="1">
        <v>142.10333299999999</v>
      </c>
      <c r="C8" s="1">
        <f t="shared" si="0"/>
        <v>-6.608280532102917E-2</v>
      </c>
      <c r="D8" s="1">
        <v>111.330856</v>
      </c>
      <c r="E8" s="1">
        <f t="shared" si="1"/>
        <v>-9.4467568852241168E-4</v>
      </c>
      <c r="F8" s="1">
        <v>17.201941000000001</v>
      </c>
      <c r="G8" s="1">
        <f t="shared" si="2"/>
        <v>-1.9214890287046704E-2</v>
      </c>
      <c r="H8" s="1">
        <v>106.457649</v>
      </c>
      <c r="I8" s="1">
        <f t="shared" si="3"/>
        <v>3.6686568267381148E-3</v>
      </c>
      <c r="J8" s="1">
        <v>125.222633</v>
      </c>
      <c r="K8" s="1">
        <f t="shared" si="4"/>
        <v>2.3534864598224958E-2</v>
      </c>
      <c r="L8" s="1"/>
      <c r="M8" s="40" t="s">
        <v>6</v>
      </c>
      <c r="N8" s="36">
        <f>COVAR(C3:C106, K3:K106)</f>
        <v>-3.3666110518404196E-4</v>
      </c>
      <c r="O8" s="36">
        <f>COVAR(E3:E106, K3:K106)</f>
        <v>-6.1659141131778234E-5</v>
      </c>
      <c r="P8" s="36">
        <f>COVAR(G3:G106, K3:K106)</f>
        <v>-5.677805302291944E-5</v>
      </c>
      <c r="Q8" s="36">
        <f>COVAR(I3:I106, K3:K106)</f>
        <v>8.5489117070013942E-5</v>
      </c>
      <c r="R8" s="36">
        <f>VAR(K3:K106)</f>
        <v>2.6137418920193774E-4</v>
      </c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5">
        <v>42415</v>
      </c>
      <c r="B9" s="1">
        <v>142.86183199999999</v>
      </c>
      <c r="C9" s="1">
        <f t="shared" si="0"/>
        <v>5.3376580547903618E-3</v>
      </c>
      <c r="D9" s="1">
        <v>116.470535</v>
      </c>
      <c r="E9" s="1">
        <f t="shared" si="1"/>
        <v>4.6165808695479704E-2</v>
      </c>
      <c r="F9" s="1">
        <v>17.780155000000001</v>
      </c>
      <c r="G9" s="1">
        <f t="shared" si="2"/>
        <v>3.3613299801458441E-2</v>
      </c>
      <c r="H9" s="1">
        <v>106.710938</v>
      </c>
      <c r="I9" s="1">
        <f t="shared" si="3"/>
        <v>2.3792466053800254E-3</v>
      </c>
      <c r="J9" s="1">
        <v>124.756035</v>
      </c>
      <c r="K9" s="1">
        <f t="shared" si="4"/>
        <v>-3.7261474928418359E-3</v>
      </c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5">
        <v>42422</v>
      </c>
      <c r="B10" s="1">
        <v>146.10977199999999</v>
      </c>
      <c r="C10" s="1">
        <f t="shared" si="0"/>
        <v>2.2734833751816952E-2</v>
      </c>
      <c r="D10" s="1">
        <v>120.844521</v>
      </c>
      <c r="E10" s="1">
        <f t="shared" si="1"/>
        <v>3.7554442417560896E-2</v>
      </c>
      <c r="F10" s="1">
        <v>18.107814999999999</v>
      </c>
      <c r="G10" s="1">
        <f t="shared" si="2"/>
        <v>1.842841077594648E-2</v>
      </c>
      <c r="H10" s="1">
        <v>107.808418</v>
      </c>
      <c r="I10" s="1">
        <f t="shared" si="3"/>
        <v>1.0284606438376587E-2</v>
      </c>
      <c r="J10" s="1">
        <v>124.184647</v>
      </c>
      <c r="K10" s="1">
        <f t="shared" si="4"/>
        <v>-4.5800429614487603E-3</v>
      </c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5">
        <v>42429</v>
      </c>
      <c r="B11" s="1">
        <v>152.51817299999999</v>
      </c>
      <c r="C11" s="1">
        <f t="shared" si="0"/>
        <v>4.3860180686614125E-2</v>
      </c>
      <c r="D11" s="1">
        <v>120.17453</v>
      </c>
      <c r="E11" s="1">
        <f t="shared" si="1"/>
        <v>-5.5442397756700901E-3</v>
      </c>
      <c r="F11" s="1">
        <v>17.712696000000001</v>
      </c>
      <c r="G11" s="1">
        <f t="shared" si="2"/>
        <v>-2.1820357674296798E-2</v>
      </c>
      <c r="H11" s="1">
        <v>107.686485</v>
      </c>
      <c r="I11" s="1">
        <f t="shared" si="3"/>
        <v>-1.1310155761676821E-3</v>
      </c>
      <c r="J11" s="1">
        <v>122.46106</v>
      </c>
      <c r="K11" s="1">
        <f t="shared" si="4"/>
        <v>-1.3879227759933888E-2</v>
      </c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5">
        <v>42436</v>
      </c>
      <c r="B12" s="1">
        <v>150.34854100000001</v>
      </c>
      <c r="C12" s="1">
        <f t="shared" si="0"/>
        <v>-1.4225399880707812E-2</v>
      </c>
      <c r="D12" s="1">
        <v>122.950157</v>
      </c>
      <c r="E12" s="1">
        <f t="shared" si="1"/>
        <v>2.3096632872206868E-2</v>
      </c>
      <c r="F12" s="1">
        <v>18.541473</v>
      </c>
      <c r="G12" s="1">
        <f t="shared" si="2"/>
        <v>4.678999741202583E-2</v>
      </c>
      <c r="H12" s="1">
        <v>109.336952</v>
      </c>
      <c r="I12" s="1">
        <f t="shared" si="3"/>
        <v>1.532659367607736E-2</v>
      </c>
      <c r="J12" s="1">
        <v>121.5103</v>
      </c>
      <c r="K12" s="1">
        <f t="shared" si="4"/>
        <v>-7.7637740519312937E-3</v>
      </c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5">
        <v>42443</v>
      </c>
      <c r="B13" s="1">
        <v>153.923157</v>
      </c>
      <c r="C13" s="1">
        <f t="shared" si="0"/>
        <v>2.3775528357139031E-2</v>
      </c>
      <c r="D13" s="1">
        <v>126.407478</v>
      </c>
      <c r="E13" s="1">
        <f t="shared" si="1"/>
        <v>2.8119695690994373E-2</v>
      </c>
      <c r="F13" s="1">
        <v>18.888403</v>
      </c>
      <c r="G13" s="1">
        <f t="shared" si="2"/>
        <v>1.8711026896298888E-2</v>
      </c>
      <c r="H13" s="1">
        <v>110.738724</v>
      </c>
      <c r="I13" s="1">
        <f t="shared" si="3"/>
        <v>1.282066103324353E-2</v>
      </c>
      <c r="J13" s="1">
        <v>123.13222500000001</v>
      </c>
      <c r="K13" s="1">
        <f t="shared" si="4"/>
        <v>1.3348045392036711E-2</v>
      </c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5">
        <v>42450</v>
      </c>
      <c r="B14" s="1">
        <v>149.43045000000001</v>
      </c>
      <c r="C14" s="1">
        <f t="shared" si="0"/>
        <v>-2.9187986314495817E-2</v>
      </c>
      <c r="D14" s="1">
        <v>125.55098</v>
      </c>
      <c r="E14" s="1">
        <f t="shared" si="1"/>
        <v>-6.7756909128430243E-3</v>
      </c>
      <c r="F14" s="1">
        <v>18.695667</v>
      </c>
      <c r="G14" s="1">
        <f t="shared" si="2"/>
        <v>-1.02039330694077E-2</v>
      </c>
      <c r="H14" s="1">
        <v>110.908073</v>
      </c>
      <c r="I14" s="1">
        <f t="shared" si="3"/>
        <v>1.5292663115749061E-3</v>
      </c>
      <c r="J14" s="1">
        <v>123.59017900000001</v>
      </c>
      <c r="K14" s="1">
        <f t="shared" si="4"/>
        <v>3.7192051065428888E-3</v>
      </c>
      <c r="L14" s="1"/>
      <c r="M14" s="12" t="s">
        <v>1</v>
      </c>
      <c r="N14" s="24">
        <f>AVERAGE(C3:C106)</f>
        <v>4.1880012814911475E-3</v>
      </c>
      <c r="O14" s="24">
        <f>STDEV(C3:C106)</f>
        <v>3.4665282862466139E-2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5">
        <v>42457</v>
      </c>
      <c r="B15" s="1">
        <v>156.091339</v>
      </c>
      <c r="C15" s="1">
        <f t="shared" si="0"/>
        <v>4.4575178619886247E-2</v>
      </c>
      <c r="D15" s="1">
        <v>129.775803</v>
      </c>
      <c r="E15" s="1">
        <f t="shared" si="1"/>
        <v>3.3650259042183439E-2</v>
      </c>
      <c r="F15" s="1">
        <v>19.360614999999999</v>
      </c>
      <c r="G15" s="1">
        <f t="shared" si="2"/>
        <v>3.5566957841086877E-2</v>
      </c>
      <c r="H15" s="1">
        <v>111.83004</v>
      </c>
      <c r="I15" s="1">
        <f t="shared" si="3"/>
        <v>8.3128935077612098E-3</v>
      </c>
      <c r="J15" s="1">
        <v>124.67778800000001</v>
      </c>
      <c r="K15" s="1">
        <f t="shared" si="4"/>
        <v>8.8001248060334269E-3</v>
      </c>
      <c r="L15" s="1"/>
      <c r="M15" s="12" t="s">
        <v>3</v>
      </c>
      <c r="N15" s="24">
        <f>AVERAGE(E3:E106)</f>
        <v>4.1640676299799662E-3</v>
      </c>
      <c r="O15" s="24">
        <f>STDEV(E3:E106)</f>
        <v>2.3545589010355208E-2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5">
        <v>42464</v>
      </c>
      <c r="B16" s="1">
        <v>146.77392599999999</v>
      </c>
      <c r="C16" s="1">
        <f t="shared" si="0"/>
        <v>-5.9692056328634724E-2</v>
      </c>
      <c r="D16" s="1">
        <v>128.592072</v>
      </c>
      <c r="E16" s="1">
        <f t="shared" si="1"/>
        <v>-9.1213536933383299E-3</v>
      </c>
      <c r="F16" s="1">
        <v>19.013683</v>
      </c>
      <c r="G16" s="1">
        <f t="shared" si="2"/>
        <v>-1.791947208288569E-2</v>
      </c>
      <c r="H16" s="1">
        <v>112.464119</v>
      </c>
      <c r="I16" s="1">
        <f t="shared" si="3"/>
        <v>5.6700239041316269E-3</v>
      </c>
      <c r="J16" s="1">
        <v>126.207634</v>
      </c>
      <c r="K16" s="1">
        <f t="shared" si="4"/>
        <v>1.2270397354178231E-2</v>
      </c>
      <c r="L16" s="1"/>
      <c r="M16" s="12" t="s">
        <v>4</v>
      </c>
      <c r="N16" s="24">
        <f>AVERAGE(G3:G106)</f>
        <v>2.165530346985169E-3</v>
      </c>
      <c r="O16" s="24">
        <f>STDEV(G3:G106)</f>
        <v>3.7509906777224385E-2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5">
        <v>42471</v>
      </c>
      <c r="B17" s="1">
        <v>154.82165499999999</v>
      </c>
      <c r="C17" s="1">
        <f t="shared" si="0"/>
        <v>5.48307810475821E-2</v>
      </c>
      <c r="D17" s="1">
        <v>129.92979399999999</v>
      </c>
      <c r="E17" s="1">
        <f t="shared" si="1"/>
        <v>1.0402834165390784E-2</v>
      </c>
      <c r="F17" s="1">
        <v>19.562988000000001</v>
      </c>
      <c r="G17" s="1">
        <f t="shared" si="2"/>
        <v>2.8889984123538826E-2</v>
      </c>
      <c r="H17" s="1">
        <v>112.794296</v>
      </c>
      <c r="I17" s="1">
        <f t="shared" si="3"/>
        <v>2.9358430309671668E-3</v>
      </c>
      <c r="J17" s="1">
        <v>126.083389</v>
      </c>
      <c r="K17" s="1">
        <f t="shared" si="4"/>
        <v>-9.8444916572959507E-4</v>
      </c>
      <c r="L17" s="1"/>
      <c r="M17" s="12" t="s">
        <v>5</v>
      </c>
      <c r="N17" s="24">
        <f>AVERAGE(I3:I106)</f>
        <v>1.2583448595402135E-3</v>
      </c>
      <c r="O17" s="24">
        <f>STDEV(I3:I106)</f>
        <v>6.8537700749458103E-3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5">
        <v>42478</v>
      </c>
      <c r="B18" s="1">
        <v>162.85964999999999</v>
      </c>
      <c r="C18" s="1">
        <f t="shared" si="0"/>
        <v>5.191776951357352E-2</v>
      </c>
      <c r="D18" s="1">
        <v>130.55529799999999</v>
      </c>
      <c r="E18" s="1">
        <f t="shared" si="1"/>
        <v>4.8141691042780099E-3</v>
      </c>
      <c r="F18" s="1">
        <v>18.724577</v>
      </c>
      <c r="G18" s="1">
        <f t="shared" si="2"/>
        <v>-4.2857001190206745E-2</v>
      </c>
      <c r="H18" s="1">
        <v>112.88865699999999</v>
      </c>
      <c r="I18" s="1">
        <f t="shared" si="3"/>
        <v>8.3657599139574934E-4</v>
      </c>
      <c r="J18" s="1">
        <v>122.718063</v>
      </c>
      <c r="K18" s="1">
        <f t="shared" si="4"/>
        <v>-2.6691271758248813E-2</v>
      </c>
      <c r="L18" s="1"/>
      <c r="M18" s="12" t="s">
        <v>6</v>
      </c>
      <c r="N18" s="24">
        <f>AVERAGE(K3:K106)</f>
        <v>1.0878990106872855E-3</v>
      </c>
      <c r="O18" s="24">
        <f>STDEV(K3:K106)</f>
        <v>1.6167071138642821E-2</v>
      </c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5">
        <v>42485</v>
      </c>
      <c r="B19" s="1">
        <v>160.28125</v>
      </c>
      <c r="C19" s="1">
        <f t="shared" si="0"/>
        <v>-1.5832036971711427E-2</v>
      </c>
      <c r="D19" s="1">
        <v>128.851913</v>
      </c>
      <c r="E19" s="1">
        <f t="shared" si="1"/>
        <v>-1.3047229994450293E-2</v>
      </c>
      <c r="F19" s="1">
        <v>18.618569999999998</v>
      </c>
      <c r="G19" s="1">
        <f t="shared" si="2"/>
        <v>-5.6613828979955594E-3</v>
      </c>
      <c r="H19" s="1">
        <v>113.52074399999999</v>
      </c>
      <c r="I19" s="1">
        <f t="shared" si="3"/>
        <v>5.5992073676631726E-3</v>
      </c>
      <c r="J19" s="1">
        <v>123.69326</v>
      </c>
      <c r="K19" s="1">
        <f t="shared" si="4"/>
        <v>7.9466459636019504E-3</v>
      </c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5">
        <v>42492</v>
      </c>
      <c r="B20" s="1">
        <v>155.14399700000001</v>
      </c>
      <c r="C20" s="1">
        <f t="shared" si="0"/>
        <v>-3.2051490738935429E-2</v>
      </c>
      <c r="D20" s="1">
        <v>130.593796</v>
      </c>
      <c r="E20" s="1">
        <f t="shared" si="1"/>
        <v>1.3518487692146364E-2</v>
      </c>
      <c r="F20" s="1">
        <v>18.211528999999999</v>
      </c>
      <c r="G20" s="1">
        <f t="shared" si="2"/>
        <v>-2.1862097894736254E-2</v>
      </c>
      <c r="H20" s="1">
        <v>113.05847900000001</v>
      </c>
      <c r="I20" s="1">
        <f t="shared" si="3"/>
        <v>-4.0720751442572256E-3</v>
      </c>
      <c r="J20" s="1">
        <v>124.71618700000001</v>
      </c>
      <c r="K20" s="1">
        <f t="shared" si="4"/>
        <v>8.2698685441713327E-3</v>
      </c>
      <c r="L20" s="1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5">
        <v>42499</v>
      </c>
      <c r="B21" s="1">
        <v>151.71586600000001</v>
      </c>
      <c r="C21" s="1">
        <f t="shared" si="0"/>
        <v>-2.2096446309811224E-2</v>
      </c>
      <c r="D21" s="1">
        <v>128.120529</v>
      </c>
      <c r="E21" s="1">
        <f t="shared" si="1"/>
        <v>-1.8938625537770482E-2</v>
      </c>
      <c r="F21" s="1">
        <v>17.988844</v>
      </c>
      <c r="G21" s="1">
        <f t="shared" si="2"/>
        <v>-1.2227693786721505E-2</v>
      </c>
      <c r="H21" s="1">
        <v>113.534927</v>
      </c>
      <c r="I21" s="1">
        <f t="shared" si="3"/>
        <v>4.2141730917855114E-3</v>
      </c>
      <c r="J21" s="1">
        <v>126.72041299999999</v>
      </c>
      <c r="K21" s="1">
        <f t="shared" si="4"/>
        <v>1.6070295670601142E-2</v>
      </c>
      <c r="L21" s="1"/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5">
        <v>42506</v>
      </c>
      <c r="B22" s="1">
        <v>150.90522799999999</v>
      </c>
      <c r="C22" s="1">
        <f t="shared" si="0"/>
        <v>-5.3431326688008207E-3</v>
      </c>
      <c r="D22" s="1">
        <v>126.888687</v>
      </c>
      <c r="E22" s="1">
        <f t="shared" si="1"/>
        <v>-9.6147120966071364E-3</v>
      </c>
      <c r="F22" s="1">
        <v>17.930758000000001</v>
      </c>
      <c r="G22" s="1">
        <f t="shared" si="2"/>
        <v>-3.2290012632273379E-3</v>
      </c>
      <c r="H22" s="1">
        <v>112.494377</v>
      </c>
      <c r="I22" s="1">
        <f t="shared" si="3"/>
        <v>-9.1650210864185899E-3</v>
      </c>
      <c r="J22" s="1">
        <v>124.679939</v>
      </c>
      <c r="K22" s="1">
        <f t="shared" si="4"/>
        <v>-1.6102172899325917E-2</v>
      </c>
      <c r="L22" s="1"/>
      <c r="M22" s="12" t="s">
        <v>19</v>
      </c>
      <c r="N22" s="12" t="s">
        <v>1</v>
      </c>
      <c r="O22" s="26">
        <f>MAX(N14:N18)</f>
        <v>4.1880012814911475E-3</v>
      </c>
      <c r="Q22" s="16" t="s">
        <v>8</v>
      </c>
      <c r="R22" s="16" t="s">
        <v>9</v>
      </c>
      <c r="S22" s="16" t="s">
        <v>10</v>
      </c>
      <c r="T22" s="16" t="s">
        <v>11</v>
      </c>
      <c r="U22" s="16" t="s">
        <v>12</v>
      </c>
      <c r="V22" s="3"/>
      <c r="W22" s="3" t="s">
        <v>25</v>
      </c>
      <c r="X22" s="3" t="s">
        <v>17</v>
      </c>
      <c r="Y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5">
        <v>42513</v>
      </c>
      <c r="B23" s="1">
        <v>155.808121</v>
      </c>
      <c r="C23" s="1">
        <f t="shared" si="0"/>
        <v>3.2489881662681741E-2</v>
      </c>
      <c r="D23" s="1">
        <v>128.900024</v>
      </c>
      <c r="E23" s="1">
        <f t="shared" si="1"/>
        <v>1.5851192470767606E-2</v>
      </c>
      <c r="F23" s="1">
        <v>18.598801000000002</v>
      </c>
      <c r="G23" s="1">
        <f t="shared" si="2"/>
        <v>3.7256818702254613E-2</v>
      </c>
      <c r="H23" s="1">
        <v>112.74031100000001</v>
      </c>
      <c r="I23" s="1">
        <f t="shared" si="3"/>
        <v>2.1861892705978825E-3</v>
      </c>
      <c r="J23" s="1">
        <v>124.39254800000001</v>
      </c>
      <c r="K23" s="1">
        <f t="shared" si="4"/>
        <v>-2.3050300016589365E-3</v>
      </c>
      <c r="L23" s="1"/>
      <c r="M23" s="12" t="s">
        <v>20</v>
      </c>
      <c r="N23" s="12" t="s">
        <v>6</v>
      </c>
      <c r="O23" s="26">
        <f>MIN(N14:N18)</f>
        <v>1.0878990106872855E-3</v>
      </c>
      <c r="Q23" s="12">
        <v>0.5</v>
      </c>
      <c r="R23" s="7">
        <v>0.34999999999999992</v>
      </c>
      <c r="S23" s="3">
        <v>0.05</v>
      </c>
      <c r="T23" s="3">
        <v>0.05</v>
      </c>
      <c r="U23" s="3">
        <f>1 - SUM(Q23:T23)</f>
        <v>5.0000000000000044E-2</v>
      </c>
      <c r="V23" s="3"/>
      <c r="W23" s="6">
        <v>3.7770130220991945E-3</v>
      </c>
      <c r="X23" s="6">
        <f t="array" ref="X23">SQRT(MMULT(MMULT(weights1, vcv), TRANSPOSE(weights1)))</f>
        <v>2.2268046421421876E-2</v>
      </c>
      <c r="Y23" s="6">
        <f>MMULT(weights1, rets)</f>
        <v>3.7770130220991954E-3</v>
      </c>
      <c r="Z23" s="3"/>
      <c r="AA23" s="3"/>
      <c r="AB23" s="3"/>
      <c r="AC23" s="3"/>
      <c r="AD23" s="3"/>
      <c r="AE23" s="3"/>
    </row>
    <row r="24" spans="1:31" x14ac:dyDescent="0.2">
      <c r="A24" s="5">
        <v>42520</v>
      </c>
      <c r="B24" s="1">
        <v>152.66137699999999</v>
      </c>
      <c r="C24" s="1">
        <f t="shared" si="0"/>
        <v>-2.0196277188915035E-2</v>
      </c>
      <c r="D24" s="1">
        <v>126.782822</v>
      </c>
      <c r="E24" s="1">
        <f t="shared" si="1"/>
        <v>-1.6425148221849928E-2</v>
      </c>
      <c r="F24" s="1">
        <v>18.724663</v>
      </c>
      <c r="G24" s="1">
        <f t="shared" si="2"/>
        <v>6.7672104239406838E-3</v>
      </c>
      <c r="H24" s="1">
        <v>113.83764600000001</v>
      </c>
      <c r="I24" s="1">
        <f t="shared" si="3"/>
        <v>9.7332976134862914E-3</v>
      </c>
      <c r="J24" s="1">
        <v>127.63046300000001</v>
      </c>
      <c r="K24" s="1">
        <f t="shared" si="4"/>
        <v>2.6029814904989346E-2</v>
      </c>
      <c r="L24" s="1"/>
      <c r="M24" s="12" t="s">
        <v>21</v>
      </c>
      <c r="N24" s="12" t="s">
        <v>4</v>
      </c>
      <c r="O24" s="26">
        <f>MAX(O14:O18)</f>
        <v>3.7509906777224385E-2</v>
      </c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5">
        <v>42527</v>
      </c>
      <c r="B25" s="1">
        <v>146.99310299999999</v>
      </c>
      <c r="C25" s="1">
        <f t="shared" si="0"/>
        <v>-3.7129718802418443E-2</v>
      </c>
      <c r="D25" s="1">
        <v>124.62432099999999</v>
      </c>
      <c r="E25" s="1">
        <f t="shared" si="1"/>
        <v>-1.7025185004952759E-2</v>
      </c>
      <c r="F25" s="1">
        <v>18.230889999999999</v>
      </c>
      <c r="G25" s="1">
        <f t="shared" si="2"/>
        <v>-2.6370194219249798E-2</v>
      </c>
      <c r="H25" s="1">
        <v>114.726173</v>
      </c>
      <c r="I25" s="1">
        <f t="shared" si="3"/>
        <v>7.8052123460106149E-3</v>
      </c>
      <c r="J25" s="1">
        <v>129.38073700000001</v>
      </c>
      <c r="K25" s="1">
        <f t="shared" si="4"/>
        <v>1.3713606915302101E-2</v>
      </c>
      <c r="L25" s="1"/>
      <c r="M25" s="12" t="s">
        <v>22</v>
      </c>
      <c r="N25" s="12" t="s">
        <v>5</v>
      </c>
      <c r="O25" s="26">
        <f>MIN(O14:O18)</f>
        <v>6.8537700749458103E-3</v>
      </c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5">
        <v>42534</v>
      </c>
      <c r="B26" s="1">
        <v>142.82522599999999</v>
      </c>
      <c r="C26" s="1">
        <f t="shared" si="0"/>
        <v>-2.8354235096322844E-2</v>
      </c>
      <c r="D26" s="1">
        <v>122.98949399999999</v>
      </c>
      <c r="E26" s="1">
        <f t="shared" si="1"/>
        <v>-1.3118041381344869E-2</v>
      </c>
      <c r="F26" s="1">
        <v>17.911391999999999</v>
      </c>
      <c r="G26" s="1">
        <f t="shared" si="2"/>
        <v>-1.7525090656572373E-2</v>
      </c>
      <c r="H26" s="1">
        <v>114.55542</v>
      </c>
      <c r="I26" s="1">
        <f t="shared" si="3"/>
        <v>-1.4883526185432983E-3</v>
      </c>
      <c r="J26" s="1">
        <v>130.17747499999999</v>
      </c>
      <c r="K26" s="1">
        <f t="shared" si="4"/>
        <v>6.1580882786282931E-3</v>
      </c>
      <c r="L26" s="1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5">
        <v>42541</v>
      </c>
      <c r="B27" s="1">
        <v>139.118301</v>
      </c>
      <c r="C27" s="1">
        <f t="shared" si="0"/>
        <v>-2.5954273651910609E-2</v>
      </c>
      <c r="D27" s="1">
        <v>122.27365899999999</v>
      </c>
      <c r="E27" s="1">
        <f t="shared" si="1"/>
        <v>-5.8202938862403908E-3</v>
      </c>
      <c r="F27" s="1">
        <v>17.233664999999998</v>
      </c>
      <c r="G27" s="1">
        <f t="shared" si="2"/>
        <v>-3.7837762693150867E-2</v>
      </c>
      <c r="H27" s="1">
        <v>114.944366</v>
      </c>
      <c r="I27" s="1">
        <f t="shared" si="3"/>
        <v>3.3952649294115567E-3</v>
      </c>
      <c r="J27" s="1">
        <v>130.34065200000001</v>
      </c>
      <c r="K27" s="1">
        <f t="shared" si="4"/>
        <v>1.2534964286257111E-3</v>
      </c>
      <c r="L27" s="1"/>
      <c r="M27" s="12" t="s">
        <v>8</v>
      </c>
      <c r="N27" s="12">
        <v>0.2</v>
      </c>
      <c r="R27" s="7" t="s">
        <v>49</v>
      </c>
      <c r="S27" s="21">
        <f>MIN(T38:T67)</f>
        <v>7.3298244742885377E-3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5">
        <v>42548</v>
      </c>
      <c r="B28" s="1">
        <v>145.38479599999999</v>
      </c>
      <c r="C28" s="1">
        <f t="shared" si="0"/>
        <v>4.5044361201622252E-2</v>
      </c>
      <c r="D28" s="1">
        <v>125.388527</v>
      </c>
      <c r="E28" s="1">
        <f t="shared" si="1"/>
        <v>2.5474562759261188E-2</v>
      </c>
      <c r="F28" s="1">
        <v>18.182483999999999</v>
      </c>
      <c r="G28" s="1">
        <f t="shared" si="2"/>
        <v>5.505613576682622E-2</v>
      </c>
      <c r="H28" s="1">
        <v>116.727768</v>
      </c>
      <c r="I28" s="1">
        <f t="shared" si="3"/>
        <v>1.5515349399552125E-2</v>
      </c>
      <c r="J28" s="1">
        <v>134.938782</v>
      </c>
      <c r="K28" s="1">
        <f t="shared" si="4"/>
        <v>3.527778885132471E-2</v>
      </c>
      <c r="L28" s="1"/>
      <c r="M28" s="12" t="s">
        <v>9</v>
      </c>
      <c r="N28" s="12">
        <v>0.4</v>
      </c>
      <c r="R28" s="7" t="s">
        <v>50</v>
      </c>
      <c r="S28" s="21">
        <f>MAX(T38:T67)</f>
        <v>2.2268046421421876E-2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5">
        <v>42555</v>
      </c>
      <c r="B29" s="1">
        <v>147.47363300000001</v>
      </c>
      <c r="C29" s="1">
        <f t="shared" si="0"/>
        <v>1.4367644055434781E-2</v>
      </c>
      <c r="D29" s="1">
        <v>129.95443700000001</v>
      </c>
      <c r="E29" s="1">
        <f t="shared" si="1"/>
        <v>3.6414097120704092E-2</v>
      </c>
      <c r="F29" s="1">
        <v>18.734348000000001</v>
      </c>
      <c r="G29" s="1">
        <f t="shared" si="2"/>
        <v>3.0351408531419599E-2</v>
      </c>
      <c r="H29" s="1">
        <v>118.32749200000001</v>
      </c>
      <c r="I29" s="1">
        <f t="shared" si="3"/>
        <v>1.3704742473958698E-2</v>
      </c>
      <c r="J29" s="1">
        <v>138.10095200000001</v>
      </c>
      <c r="K29" s="1">
        <f t="shared" si="4"/>
        <v>2.3434108068353554E-2</v>
      </c>
      <c r="L29" s="1"/>
      <c r="M29" s="12" t="s">
        <v>10</v>
      </c>
      <c r="N29" s="12">
        <v>-0.3</v>
      </c>
      <c r="S29" s="21">
        <f>S28-S27</f>
        <v>1.4938221947133339E-2</v>
      </c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5">
        <v>42562</v>
      </c>
      <c r="B30" s="1">
        <v>158.51602199999999</v>
      </c>
      <c r="C30" s="1">
        <f t="shared" si="0"/>
        <v>7.4877039206052487E-2</v>
      </c>
      <c r="D30" s="1">
        <v>130.380066</v>
      </c>
      <c r="E30" s="1">
        <f t="shared" si="1"/>
        <v>3.275217143990039E-3</v>
      </c>
      <c r="F30" s="1">
        <v>17.475709999999999</v>
      </c>
      <c r="G30" s="1">
        <f t="shared" si="2"/>
        <v>-6.7183442946613381E-2</v>
      </c>
      <c r="H30" s="1">
        <v>117.081459</v>
      </c>
      <c r="I30" s="1">
        <f t="shared" si="3"/>
        <v>-1.0530376152990795E-2</v>
      </c>
      <c r="J30" s="1">
        <v>133.09046900000001</v>
      </c>
      <c r="K30" s="1">
        <f t="shared" si="4"/>
        <v>-3.6281306735669649E-2</v>
      </c>
      <c r="L30" s="1"/>
      <c r="M30" s="12" t="s">
        <v>11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5">
        <v>42569</v>
      </c>
      <c r="B31" s="1">
        <v>157.309799</v>
      </c>
      <c r="C31" s="1">
        <f t="shared" si="0"/>
        <v>-7.6094705429838871E-3</v>
      </c>
      <c r="D31" s="1">
        <v>132.063278</v>
      </c>
      <c r="E31" s="1">
        <f t="shared" si="1"/>
        <v>1.2910041018080243E-2</v>
      </c>
      <c r="F31" s="1">
        <v>17.417615999999999</v>
      </c>
      <c r="G31" s="1">
        <f t="shared" si="2"/>
        <v>-3.3242712313262812E-3</v>
      </c>
      <c r="H31" s="1">
        <v>117.31922900000001</v>
      </c>
      <c r="I31" s="1">
        <f t="shared" si="3"/>
        <v>2.0308083109898956E-3</v>
      </c>
      <c r="J31" s="1">
        <v>133.48474100000001</v>
      </c>
      <c r="K31" s="1">
        <f t="shared" si="4"/>
        <v>2.9624360253774906E-3</v>
      </c>
      <c r="L31" s="1"/>
      <c r="M31" s="12" t="s">
        <v>12</v>
      </c>
      <c r="N31" s="12">
        <f>1-SUM(N27:N30)</f>
        <v>0.59999999999999987</v>
      </c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5">
        <v>42576</v>
      </c>
      <c r="B32" s="1">
        <v>155.74067700000001</v>
      </c>
      <c r="C32" s="1">
        <f t="shared" si="0"/>
        <v>-9.9747250964321577E-3</v>
      </c>
      <c r="D32" s="1">
        <v>133.727158</v>
      </c>
      <c r="E32" s="1">
        <f t="shared" si="1"/>
        <v>1.2599111768223814E-2</v>
      </c>
      <c r="F32" s="1">
        <v>17.620937000000001</v>
      </c>
      <c r="G32" s="1">
        <f t="shared" si="2"/>
        <v>1.1673296735902561E-2</v>
      </c>
      <c r="H32" s="1">
        <v>117.937515</v>
      </c>
      <c r="I32" s="1">
        <f t="shared" si="3"/>
        <v>5.2701164614710194E-3</v>
      </c>
      <c r="J32" s="1">
        <v>136.13909899999999</v>
      </c>
      <c r="K32" s="1">
        <f t="shared" si="4"/>
        <v>1.9885104320650271E-2</v>
      </c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5">
        <v>42583</v>
      </c>
      <c r="B33" s="1">
        <v>158.95732100000001</v>
      </c>
      <c r="C33" s="1">
        <f t="shared" si="0"/>
        <v>2.0653846265224596E-2</v>
      </c>
      <c r="D33" s="1">
        <v>132.44056699999999</v>
      </c>
      <c r="E33" s="1">
        <f t="shared" si="1"/>
        <v>-9.6210150521557347E-3</v>
      </c>
      <c r="F33" s="1">
        <v>17.456983999999999</v>
      </c>
      <c r="G33" s="1">
        <f t="shared" si="2"/>
        <v>-9.3044427773620875E-3</v>
      </c>
      <c r="H33" s="1">
        <v>116.482208</v>
      </c>
      <c r="I33" s="1">
        <f t="shared" si="3"/>
        <v>-1.2339644429510077E-2</v>
      </c>
      <c r="J33" s="1">
        <v>132.71539300000001</v>
      </c>
      <c r="K33" s="1">
        <f t="shared" si="4"/>
        <v>-2.514858718140911E-2</v>
      </c>
      <c r="L33" s="1"/>
      <c r="M33" s="23" t="s">
        <v>13</v>
      </c>
      <c r="N33" s="24">
        <f>SUMPRODUCT(N14:N18, N27:N31)</f>
        <v>2.6321420965610578E-3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5">
        <v>42590</v>
      </c>
      <c r="B34" s="1">
        <v>160.09487899999999</v>
      </c>
      <c r="C34" s="1">
        <f t="shared" si="0"/>
        <v>7.1563737539335204E-3</v>
      </c>
      <c r="D34" s="1">
        <v>132.111649</v>
      </c>
      <c r="E34" s="1">
        <f t="shared" si="1"/>
        <v>-2.4835139825397645E-3</v>
      </c>
      <c r="F34" s="1">
        <v>17.719711</v>
      </c>
      <c r="G34" s="1">
        <f t="shared" si="2"/>
        <v>1.5049965102792218E-2</v>
      </c>
      <c r="H34" s="1">
        <v>118.026207</v>
      </c>
      <c r="I34" s="1">
        <f t="shared" si="3"/>
        <v>1.3255234653518855E-2</v>
      </c>
      <c r="J34" s="1">
        <v>134.96170000000001</v>
      </c>
      <c r="K34" s="1">
        <f t="shared" si="4"/>
        <v>1.6925745757313981E-2</v>
      </c>
      <c r="L34" s="1"/>
      <c r="M34" s="23" t="s">
        <v>14</v>
      </c>
      <c r="N34" s="24">
        <f t="array" ref="N34">SQRT(MMULT(MMULT(TRANSPOSE(N27:N31), N4:R8), N27:N31))</f>
        <v>1.5132953691604516E-2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5">
        <v>42597</v>
      </c>
      <c r="B35" s="1">
        <v>163.01728800000001</v>
      </c>
      <c r="C35" s="1">
        <f t="shared" si="0"/>
        <v>1.8254231604747373E-2</v>
      </c>
      <c r="D35" s="1">
        <v>131.037903</v>
      </c>
      <c r="E35" s="1">
        <f t="shared" si="1"/>
        <v>-8.1275648902089381E-3</v>
      </c>
      <c r="F35" s="1">
        <v>17.622408</v>
      </c>
      <c r="G35" s="1">
        <f t="shared" si="2"/>
        <v>-5.4912295127160782E-3</v>
      </c>
      <c r="H35" s="1">
        <v>117.71151</v>
      </c>
      <c r="I35" s="1">
        <f t="shared" si="3"/>
        <v>-2.6663315546520128E-3</v>
      </c>
      <c r="J35" s="1">
        <v>133.64179999999999</v>
      </c>
      <c r="K35" s="1">
        <f t="shared" si="4"/>
        <v>-9.7798116058113171E-3</v>
      </c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5">
        <v>42604</v>
      </c>
      <c r="B36" s="1">
        <v>162.76232899999999</v>
      </c>
      <c r="C36" s="1">
        <f t="shared" si="0"/>
        <v>-1.5639997642459269E-3</v>
      </c>
      <c r="D36" s="1">
        <v>129.97380100000001</v>
      </c>
      <c r="E36" s="1">
        <f t="shared" si="1"/>
        <v>-8.120566459309031E-3</v>
      </c>
      <c r="F36" s="1">
        <v>17.982443</v>
      </c>
      <c r="G36" s="1">
        <f t="shared" si="2"/>
        <v>2.0430522321353672E-2</v>
      </c>
      <c r="H36" s="1">
        <v>117.682877</v>
      </c>
      <c r="I36" s="1">
        <f t="shared" si="3"/>
        <v>-2.43247240647948E-4</v>
      </c>
      <c r="J36" s="1">
        <v>133.304596</v>
      </c>
      <c r="K36" s="1">
        <f t="shared" si="4"/>
        <v>-2.523192593933854E-3</v>
      </c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5">
        <v>42611</v>
      </c>
      <c r="B37" s="1">
        <v>165.91029399999999</v>
      </c>
      <c r="C37" s="1">
        <f t="shared" si="0"/>
        <v>1.9340869716849562E-2</v>
      </c>
      <c r="D37" s="1">
        <v>130.73799099999999</v>
      </c>
      <c r="E37" s="1">
        <f t="shared" si="1"/>
        <v>5.8795695295545958E-3</v>
      </c>
      <c r="F37" s="1">
        <v>18.323018999999999</v>
      </c>
      <c r="G37" s="1">
        <f t="shared" si="2"/>
        <v>1.8939362132275317E-2</v>
      </c>
      <c r="H37" s="1">
        <v>117.635201</v>
      </c>
      <c r="I37" s="1">
        <f t="shared" si="3"/>
        <v>-4.0512265858361207E-4</v>
      </c>
      <c r="J37" s="1">
        <v>133.564697</v>
      </c>
      <c r="K37" s="1">
        <f t="shared" si="4"/>
        <v>1.9511780374024124E-3</v>
      </c>
      <c r="L37" s="1"/>
      <c r="M37" s="15" t="s">
        <v>30</v>
      </c>
      <c r="N37" s="30" t="s">
        <v>31</v>
      </c>
      <c r="O37" s="30" t="s">
        <v>32</v>
      </c>
      <c r="P37" s="31" t="s">
        <v>34</v>
      </c>
      <c r="Q37" s="30" t="s">
        <v>33</v>
      </c>
      <c r="R37" s="13"/>
      <c r="S37" s="14" t="s">
        <v>18</v>
      </c>
      <c r="T37" s="15" t="s">
        <v>17</v>
      </c>
      <c r="U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5">
        <v>42618</v>
      </c>
      <c r="B38" s="1">
        <v>165.95854199999999</v>
      </c>
      <c r="C38" s="1">
        <f t="shared" si="0"/>
        <v>2.9080775421919114E-4</v>
      </c>
      <c r="D38" s="1">
        <v>124.203598</v>
      </c>
      <c r="E38" s="1">
        <f t="shared" si="1"/>
        <v>-4.9980827684586338E-2</v>
      </c>
      <c r="F38" s="1">
        <v>17.865673000000001</v>
      </c>
      <c r="G38" s="1">
        <f t="shared" si="2"/>
        <v>-2.4960188056345811E-2</v>
      </c>
      <c r="H38" s="1">
        <v>116.47674600000001</v>
      </c>
      <c r="I38" s="1">
        <f t="shared" si="3"/>
        <v>-9.8478600805892436E-3</v>
      </c>
      <c r="J38" s="1">
        <v>130.80587800000001</v>
      </c>
      <c r="K38" s="1">
        <f t="shared" si="4"/>
        <v>-2.0655300853937408E-2</v>
      </c>
      <c r="L38" s="1"/>
      <c r="M38" s="35">
        <v>0.05</v>
      </c>
      <c r="N38" s="35">
        <v>0.05</v>
      </c>
      <c r="O38" s="35">
        <v>0.05</v>
      </c>
      <c r="P38" s="35">
        <v>0.35000000000000003</v>
      </c>
      <c r="Q38" s="35">
        <v>0.5</v>
      </c>
      <c r="R38" s="20"/>
      <c r="S38" s="21">
        <v>1.5102501691055315E-3</v>
      </c>
      <c r="T38" s="18">
        <v>9.4324976534226595E-3</v>
      </c>
      <c r="U38" s="18">
        <v>1.5102501691055315E-3</v>
      </c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5">
        <v>42625</v>
      </c>
      <c r="B39" s="1">
        <v>163.42832899999999</v>
      </c>
      <c r="C39" s="1">
        <f t="shared" si="0"/>
        <v>-1.5246054644177387E-2</v>
      </c>
      <c r="D39" s="1">
        <v>122.61872099999999</v>
      </c>
      <c r="E39" s="1">
        <f t="shared" si="1"/>
        <v>-1.2760314721317556E-2</v>
      </c>
      <c r="F39" s="1">
        <v>17.671059</v>
      </c>
      <c r="G39" s="1">
        <f t="shared" si="2"/>
        <v>-1.0893180458413254E-2</v>
      </c>
      <c r="H39" s="1">
        <v>116.390686</v>
      </c>
      <c r="I39" s="1">
        <f t="shared" si="3"/>
        <v>-7.3885992659861177E-4</v>
      </c>
      <c r="J39" s="1">
        <v>130.06265300000001</v>
      </c>
      <c r="K39" s="1">
        <f t="shared" si="4"/>
        <v>-5.6818929803750251E-3</v>
      </c>
      <c r="L39" s="1"/>
      <c r="M39" s="35">
        <v>6.6966330259388696E-2</v>
      </c>
      <c r="N39" s="35">
        <v>0.05</v>
      </c>
      <c r="O39" s="35">
        <v>0.05</v>
      </c>
      <c r="P39" s="35">
        <v>0.5</v>
      </c>
      <c r="Q39" s="35">
        <v>0.33303366974061133</v>
      </c>
      <c r="R39" s="20"/>
      <c r="S39" s="21">
        <v>1.5884144054156579E-3</v>
      </c>
      <c r="T39" s="18">
        <v>7.8974115634246438E-3</v>
      </c>
      <c r="U39" s="18">
        <v>1.5884144053978102E-3</v>
      </c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5">
        <v>42632</v>
      </c>
      <c r="B40" s="1">
        <v>162.57179300000001</v>
      </c>
      <c r="C40" s="1">
        <f t="shared" si="0"/>
        <v>-5.2410497325710015E-3</v>
      </c>
      <c r="D40" s="1">
        <v>124.25221999999999</v>
      </c>
      <c r="E40" s="1">
        <f t="shared" si="1"/>
        <v>1.332177490254538E-2</v>
      </c>
      <c r="F40" s="1">
        <v>18.439786999999999</v>
      </c>
      <c r="G40" s="1">
        <f t="shared" si="2"/>
        <v>4.3502090055836495E-2</v>
      </c>
      <c r="H40" s="1">
        <v>117.49025</v>
      </c>
      <c r="I40" s="1">
        <f t="shared" si="3"/>
        <v>9.4471820537254114E-3</v>
      </c>
      <c r="J40" s="1">
        <v>132.06068400000001</v>
      </c>
      <c r="K40" s="1">
        <f t="shared" si="4"/>
        <v>1.5362065542365855E-2</v>
      </c>
      <c r="L40" s="1"/>
      <c r="M40" s="35">
        <v>9.2502338240003659E-2</v>
      </c>
      <c r="N40" s="35">
        <v>0.05</v>
      </c>
      <c r="O40" s="35">
        <v>0.05</v>
      </c>
      <c r="P40" s="35">
        <v>0.5</v>
      </c>
      <c r="Q40" s="35">
        <v>0.30749766175999627</v>
      </c>
      <c r="R40" s="20"/>
      <c r="S40" s="21">
        <v>1.6665786417257842E-3</v>
      </c>
      <c r="T40" s="18">
        <v>7.5311291028946157E-3</v>
      </c>
      <c r="U40" s="18">
        <v>1.66757864172578E-3</v>
      </c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5">
        <v>42639</v>
      </c>
      <c r="B41" s="1">
        <v>158.77160599999999</v>
      </c>
      <c r="C41" s="1">
        <f t="shared" si="0"/>
        <v>-2.3375438813054261E-2</v>
      </c>
      <c r="D41" s="1">
        <v>125.11758399999999</v>
      </c>
      <c r="E41" s="1">
        <f t="shared" si="1"/>
        <v>6.9645757637166739E-3</v>
      </c>
      <c r="F41" s="1">
        <v>18.624669999999998</v>
      </c>
      <c r="G41" s="1">
        <f t="shared" si="2"/>
        <v>1.0026308872222778E-2</v>
      </c>
      <c r="H41" s="1">
        <v>117.777107</v>
      </c>
      <c r="I41" s="1">
        <f t="shared" si="3"/>
        <v>2.4415387659826315E-3</v>
      </c>
      <c r="J41" s="1">
        <v>132.72662399999999</v>
      </c>
      <c r="K41" s="1">
        <f t="shared" si="4"/>
        <v>5.0426817416755476E-3</v>
      </c>
      <c r="L41" s="1"/>
      <c r="M41" s="35">
        <v>0.11771577621147475</v>
      </c>
      <c r="N41" s="35">
        <v>0.05</v>
      </c>
      <c r="O41" s="35">
        <v>0.05</v>
      </c>
      <c r="P41" s="35">
        <v>0.5</v>
      </c>
      <c r="Q41" s="35">
        <v>0.28228422378852525</v>
      </c>
      <c r="R41" s="20"/>
      <c r="S41" s="21">
        <v>1.7447428780359106E-3</v>
      </c>
      <c r="T41" s="18">
        <v>7.3397362888099572E-3</v>
      </c>
      <c r="U41" s="18">
        <v>1.7457428780359098E-3</v>
      </c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5">
        <v>42646</v>
      </c>
      <c r="B42" s="1">
        <v>167.19897499999999</v>
      </c>
      <c r="C42" s="1">
        <f t="shared" si="0"/>
        <v>5.3078564941895223E-2</v>
      </c>
      <c r="D42" s="1">
        <v>124.757813</v>
      </c>
      <c r="E42" s="1">
        <f t="shared" si="1"/>
        <v>-2.8754631323443247E-3</v>
      </c>
      <c r="F42" s="1">
        <v>18.877672</v>
      </c>
      <c r="G42" s="1">
        <f t="shared" si="2"/>
        <v>1.3584240687217752E-2</v>
      </c>
      <c r="H42" s="1">
        <v>116.75404399999999</v>
      </c>
      <c r="I42" s="1">
        <f t="shared" si="3"/>
        <v>-8.6864334339610272E-3</v>
      </c>
      <c r="J42" s="1">
        <v>129.261551</v>
      </c>
      <c r="K42" s="1">
        <f t="shared" si="4"/>
        <v>-2.6106841985222173E-2</v>
      </c>
      <c r="L42" s="1"/>
      <c r="M42" s="35">
        <v>0.14260664418277011</v>
      </c>
      <c r="N42" s="35">
        <v>0.05</v>
      </c>
      <c r="O42" s="35">
        <v>0.05</v>
      </c>
      <c r="P42" s="35">
        <v>0.5</v>
      </c>
      <c r="Q42" s="35">
        <v>0.25739335581722989</v>
      </c>
      <c r="R42" s="20"/>
      <c r="S42" s="21">
        <v>1.8229071143460369E-3</v>
      </c>
      <c r="T42" s="18">
        <v>7.3298244742885377E-3</v>
      </c>
      <c r="U42" s="18">
        <v>1.8229071143560016E-3</v>
      </c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5">
        <v>42653</v>
      </c>
      <c r="B43" s="1">
        <v>167.878311</v>
      </c>
      <c r="C43" s="1">
        <f t="shared" si="0"/>
        <v>4.0630392620528699E-3</v>
      </c>
      <c r="D43" s="1">
        <v>122.920151</v>
      </c>
      <c r="E43" s="1">
        <f t="shared" si="1"/>
        <v>-1.4729834996386137E-2</v>
      </c>
      <c r="F43" s="1">
        <v>17.583480999999999</v>
      </c>
      <c r="G43" s="1">
        <f t="shared" si="2"/>
        <v>-6.8556705509026816E-2</v>
      </c>
      <c r="H43" s="1">
        <v>116.59030199999999</v>
      </c>
      <c r="I43" s="1">
        <f t="shared" si="3"/>
        <v>-1.4024524923521575E-3</v>
      </c>
      <c r="J43" s="1">
        <v>127.241119</v>
      </c>
      <c r="K43" s="1">
        <f t="shared" si="4"/>
        <v>-1.5630572156758338E-2</v>
      </c>
      <c r="L43" s="1"/>
      <c r="M43" s="35">
        <v>0.14267260698772943</v>
      </c>
      <c r="N43" s="35">
        <v>7.5668210403105327E-2</v>
      </c>
      <c r="O43" s="35">
        <v>0.05</v>
      </c>
      <c r="P43" s="35">
        <v>0.5</v>
      </c>
      <c r="Q43" s="35">
        <v>0.23165918260916518</v>
      </c>
      <c r="R43" s="20"/>
      <c r="S43" s="21">
        <v>1.9010713506561632E-3</v>
      </c>
      <c r="T43" s="18">
        <v>7.4587734145888556E-3</v>
      </c>
      <c r="U43" s="18">
        <v>1.9020713491528793E-3</v>
      </c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5">
        <v>42660</v>
      </c>
      <c r="B44" s="1">
        <v>171.96400499999999</v>
      </c>
      <c r="C44" s="1">
        <f t="shared" si="0"/>
        <v>2.433723555867795E-2</v>
      </c>
      <c r="D44" s="1">
        <v>123.09515399999999</v>
      </c>
      <c r="E44" s="1">
        <f t="shared" si="1"/>
        <v>1.4237128621814588E-3</v>
      </c>
      <c r="F44" s="1">
        <v>18.585751999999999</v>
      </c>
      <c r="G44" s="1">
        <f t="shared" si="2"/>
        <v>5.7000715614843322E-2</v>
      </c>
      <c r="H44" s="1">
        <v>117.443504</v>
      </c>
      <c r="I44" s="1">
        <f t="shared" si="3"/>
        <v>7.317949995532258E-3</v>
      </c>
      <c r="J44" s="1">
        <v>128.904312</v>
      </c>
      <c r="K44" s="1">
        <f t="shared" si="4"/>
        <v>1.3071191239681035E-2</v>
      </c>
      <c r="L44" s="1"/>
      <c r="M44" s="35">
        <v>0.14137729262219279</v>
      </c>
      <c r="N44" s="35">
        <v>0.10205813048518347</v>
      </c>
      <c r="O44" s="35">
        <v>0.05</v>
      </c>
      <c r="P44" s="35">
        <v>0.5</v>
      </c>
      <c r="Q44" s="35">
        <v>0.20656457689262375</v>
      </c>
      <c r="R44" s="20"/>
      <c r="S44" s="21">
        <v>1.9792355869662896E-3</v>
      </c>
      <c r="T44" s="18">
        <v>7.6607841314641698E-3</v>
      </c>
      <c r="U44" s="18">
        <v>1.9792355861690046E-3</v>
      </c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5">
        <v>42667</v>
      </c>
      <c r="B45" s="1">
        <v>174.395737</v>
      </c>
      <c r="C45" s="1">
        <f t="shared" si="0"/>
        <v>1.4140936063916421E-2</v>
      </c>
      <c r="D45" s="1">
        <v>120.15876799999999</v>
      </c>
      <c r="E45" s="1">
        <f t="shared" si="1"/>
        <v>-2.3854602757148347E-2</v>
      </c>
      <c r="F45" s="1">
        <v>17.564018000000001</v>
      </c>
      <c r="G45" s="1">
        <f t="shared" si="2"/>
        <v>-5.4974046785946529E-2</v>
      </c>
      <c r="H45" s="1">
        <v>115.871323</v>
      </c>
      <c r="I45" s="1">
        <f t="shared" si="3"/>
        <v>-1.3386700383190231E-2</v>
      </c>
      <c r="J45" s="1">
        <v>126.138817</v>
      </c>
      <c r="K45" s="1">
        <f t="shared" si="4"/>
        <v>-2.1453859510921602E-2</v>
      </c>
      <c r="L45" s="1"/>
      <c r="M45" s="35">
        <v>0.1400651918075107</v>
      </c>
      <c r="N45" s="35">
        <v>0.12879004709695013</v>
      </c>
      <c r="O45" s="35">
        <v>0.05</v>
      </c>
      <c r="P45" s="35">
        <v>0.5</v>
      </c>
      <c r="Q45" s="35">
        <v>0.18114476109553923</v>
      </c>
      <c r="R45" s="20"/>
      <c r="S45" s="21">
        <v>2.0573998232764155E-3</v>
      </c>
      <c r="T45" s="18">
        <v>7.9361657240331444E-3</v>
      </c>
      <c r="U45" s="18">
        <v>2.0573998224685504E-3</v>
      </c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5">
        <v>42674</v>
      </c>
      <c r="B46" s="1">
        <v>173.19465600000001</v>
      </c>
      <c r="C46" s="1">
        <f t="shared" si="0"/>
        <v>-6.8871006864117401E-3</v>
      </c>
      <c r="D46" s="1">
        <v>117.56268300000001</v>
      </c>
      <c r="E46" s="1">
        <f t="shared" si="1"/>
        <v>-2.1605456207740015E-2</v>
      </c>
      <c r="F46" s="1">
        <v>17.418057999999998</v>
      </c>
      <c r="G46" s="1">
        <f t="shared" si="2"/>
        <v>-8.3101713970005209E-3</v>
      </c>
      <c r="H46" s="1">
        <v>115.81379699999999</v>
      </c>
      <c r="I46" s="1">
        <f t="shared" si="3"/>
        <v>-4.9646451348461795E-4</v>
      </c>
      <c r="J46" s="1">
        <v>127.386177</v>
      </c>
      <c r="K46" s="1">
        <f t="shared" si="4"/>
        <v>9.8887878423656872E-3</v>
      </c>
      <c r="L46" s="1"/>
      <c r="M46" s="35">
        <v>0.13875309099665403</v>
      </c>
      <c r="N46" s="35">
        <v>0.15552196370829927</v>
      </c>
      <c r="O46" s="35">
        <v>0.05</v>
      </c>
      <c r="P46" s="35">
        <v>0.5</v>
      </c>
      <c r="Q46" s="35">
        <v>0.15572494529504666</v>
      </c>
      <c r="R46" s="20"/>
      <c r="S46" s="21">
        <v>2.1355640595865418E-3</v>
      </c>
      <c r="T46" s="18">
        <v>8.2756746540774868E-3</v>
      </c>
      <c r="U46" s="18">
        <v>2.1355640587786711E-3</v>
      </c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5">
        <v>42681</v>
      </c>
      <c r="B47" s="1">
        <v>200.780563</v>
      </c>
      <c r="C47" s="1">
        <f t="shared" si="0"/>
        <v>0.15927689477901663</v>
      </c>
      <c r="D47" s="1">
        <v>126.255196</v>
      </c>
      <c r="E47" s="1">
        <f t="shared" si="1"/>
        <v>7.3939389423427704E-2</v>
      </c>
      <c r="F47" s="1">
        <v>19.558502000000001</v>
      </c>
      <c r="G47" s="1">
        <f t="shared" si="2"/>
        <v>0.12288648941231006</v>
      </c>
      <c r="H47" s="1">
        <v>113.49503300000001</v>
      </c>
      <c r="I47" s="1">
        <f t="shared" si="3"/>
        <v>-2.0021483278024221E-2</v>
      </c>
      <c r="J47" s="1">
        <v>118.231964</v>
      </c>
      <c r="K47" s="1">
        <f t="shared" si="4"/>
        <v>-7.1861902253334775E-2</v>
      </c>
      <c r="L47" s="1"/>
      <c r="M47" s="35">
        <v>0.14296296033347247</v>
      </c>
      <c r="N47" s="35">
        <v>0.17853941123587283</v>
      </c>
      <c r="O47" s="35">
        <v>0.05</v>
      </c>
      <c r="P47" s="35">
        <v>0.46660324309676626</v>
      </c>
      <c r="Q47" s="35">
        <v>0.16189438533388845</v>
      </c>
      <c r="R47" s="20"/>
      <c r="S47" s="21">
        <v>2.2137282958966682E-3</v>
      </c>
      <c r="T47" s="18">
        <v>8.66644600828936E-3</v>
      </c>
      <c r="U47" s="18">
        <v>2.2137282954707606E-3</v>
      </c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5">
        <v>42688</v>
      </c>
      <c r="B48" s="1">
        <v>207.091263</v>
      </c>
      <c r="C48" s="1">
        <f t="shared" si="0"/>
        <v>3.1430831280217175E-2</v>
      </c>
      <c r="D48" s="1">
        <v>124.777275</v>
      </c>
      <c r="E48" s="1">
        <f t="shared" si="1"/>
        <v>-1.170582318053659E-2</v>
      </c>
      <c r="F48" s="1">
        <v>19.558502000000001</v>
      </c>
      <c r="G48" s="1">
        <f t="shared" si="2"/>
        <v>0</v>
      </c>
      <c r="H48" s="1">
        <v>112.062889</v>
      </c>
      <c r="I48" s="1">
        <f t="shared" si="3"/>
        <v>-1.2618561025485642E-2</v>
      </c>
      <c r="J48" s="1">
        <v>117.079094</v>
      </c>
      <c r="K48" s="1">
        <f t="shared" si="4"/>
        <v>-9.7509164273039683E-3</v>
      </c>
      <c r="L48" s="1"/>
      <c r="M48" s="35">
        <v>0.15135731482018874</v>
      </c>
      <c r="N48" s="35">
        <v>0.19874210368525341</v>
      </c>
      <c r="O48" s="35">
        <v>0.05</v>
      </c>
      <c r="P48" s="35">
        <v>0.40789832649339741</v>
      </c>
      <c r="Q48" s="35">
        <v>0.19200225500116042</v>
      </c>
      <c r="R48" s="20"/>
      <c r="S48" s="21">
        <v>2.2918925322067945E-3</v>
      </c>
      <c r="T48" s="18">
        <v>9.0784419293292676E-3</v>
      </c>
      <c r="U48" s="18">
        <v>2.2918925320726665E-3</v>
      </c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5">
        <v>42695</v>
      </c>
      <c r="B49" s="1">
        <v>208.10531599999999</v>
      </c>
      <c r="C49" s="1">
        <f t="shared" si="0"/>
        <v>4.8966479092842352E-3</v>
      </c>
      <c r="D49" s="1">
        <v>127.92757400000001</v>
      </c>
      <c r="E49" s="1">
        <f t="shared" si="1"/>
        <v>2.5247377777724456E-2</v>
      </c>
      <c r="F49" s="1">
        <v>20.243051999999999</v>
      </c>
      <c r="G49" s="1">
        <f t="shared" si="2"/>
        <v>3.5000124242643871E-2</v>
      </c>
      <c r="H49" s="1">
        <v>112.062889</v>
      </c>
      <c r="I49" s="1">
        <f t="shared" si="3"/>
        <v>0</v>
      </c>
      <c r="J49" s="1">
        <v>117.050034</v>
      </c>
      <c r="K49" s="1">
        <f t="shared" si="4"/>
        <v>-2.4820827533911238E-4</v>
      </c>
      <c r="L49" s="1"/>
      <c r="M49" s="35">
        <v>0.15975180335783914</v>
      </c>
      <c r="N49" s="35">
        <v>0.21894468059278049</v>
      </c>
      <c r="O49" s="35">
        <v>0.05</v>
      </c>
      <c r="P49" s="35">
        <v>0.34919305530733291</v>
      </c>
      <c r="Q49" s="35">
        <v>0.22211046074204743</v>
      </c>
      <c r="R49" s="20"/>
      <c r="S49" s="21">
        <v>2.3700567685169208E-3</v>
      </c>
      <c r="T49" s="18">
        <v>9.5061097834738401E-3</v>
      </c>
      <c r="U49" s="18">
        <v>2.370056768382805E-3</v>
      </c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5">
        <v>42702</v>
      </c>
      <c r="B50" s="1">
        <v>219.899719</v>
      </c>
      <c r="C50" s="1">
        <f t="shared" si="0"/>
        <v>5.6675164415309842E-2</v>
      </c>
      <c r="D50" s="1">
        <v>126.27462800000001</v>
      </c>
      <c r="E50" s="1">
        <f t="shared" si="1"/>
        <v>-1.2920951662852564E-2</v>
      </c>
      <c r="F50" s="1">
        <v>20.096359</v>
      </c>
      <c r="G50" s="1">
        <f t="shared" si="2"/>
        <v>-7.2465851493144218E-3</v>
      </c>
      <c r="H50" s="1">
        <v>111.880264</v>
      </c>
      <c r="I50" s="1">
        <f t="shared" si="3"/>
        <v>-1.6296652855344318E-3</v>
      </c>
      <c r="J50" s="1">
        <v>115.86808000000001</v>
      </c>
      <c r="K50" s="1">
        <f t="shared" si="4"/>
        <v>-1.0097852684092246E-2</v>
      </c>
      <c r="L50" s="1"/>
      <c r="M50" s="35">
        <v>0.16814628505442417</v>
      </c>
      <c r="N50" s="35">
        <v>0.23914726282179058</v>
      </c>
      <c r="O50" s="35">
        <v>0.05</v>
      </c>
      <c r="P50" s="35">
        <v>0.29048781250690564</v>
      </c>
      <c r="Q50" s="35">
        <v>0.25221863961687963</v>
      </c>
      <c r="R50" s="20"/>
      <c r="S50" s="21">
        <v>2.4482210048270472E-3</v>
      </c>
      <c r="T50" s="18">
        <v>9.9474284362584368E-3</v>
      </c>
      <c r="U50" s="18">
        <v>2.4482210046929348E-3</v>
      </c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5">
        <v>42709</v>
      </c>
      <c r="B51" s="1">
        <v>238.84132399999999</v>
      </c>
      <c r="C51" s="1">
        <f t="shared" si="0"/>
        <v>8.6137467961020731E-2</v>
      </c>
      <c r="D51" s="1">
        <v>130.38583399999999</v>
      </c>
      <c r="E51" s="1">
        <f t="shared" si="1"/>
        <v>3.2557656792304934E-2</v>
      </c>
      <c r="F51" s="1">
        <v>21.905522999999999</v>
      </c>
      <c r="G51" s="1">
        <f t="shared" si="2"/>
        <v>9.002446662104302E-2</v>
      </c>
      <c r="H51" s="1">
        <v>111.991867</v>
      </c>
      <c r="I51" s="1">
        <f t="shared" si="3"/>
        <v>9.975217791764468E-4</v>
      </c>
      <c r="J51" s="1">
        <v>114.064156</v>
      </c>
      <c r="K51" s="1">
        <f t="shared" si="4"/>
        <v>-1.5568774420012921E-2</v>
      </c>
      <c r="L51" s="1"/>
      <c r="M51" s="35">
        <v>0.17654076325505896</v>
      </c>
      <c r="N51" s="35">
        <v>0.25934984788061644</v>
      </c>
      <c r="O51" s="35">
        <v>0.05</v>
      </c>
      <c r="P51" s="35">
        <v>0.23178258221956349</v>
      </c>
      <c r="Q51" s="35">
        <v>0.28232680664476106</v>
      </c>
      <c r="R51" s="20"/>
      <c r="S51" s="21">
        <v>2.5263852411371735E-3</v>
      </c>
      <c r="T51" s="18">
        <v>1.0400660349289374E-2</v>
      </c>
      <c r="U51" s="18">
        <v>2.5263852410030551E-3</v>
      </c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5">
        <v>42716</v>
      </c>
      <c r="B52" s="1">
        <v>235.928009</v>
      </c>
      <c r="C52" s="1">
        <f t="shared" si="0"/>
        <v>-1.2197700763038721E-2</v>
      </c>
      <c r="D52" s="1">
        <v>132.067093</v>
      </c>
      <c r="E52" s="1">
        <f t="shared" si="1"/>
        <v>1.2894491283462761E-2</v>
      </c>
      <c r="F52" s="1">
        <v>22.198902</v>
      </c>
      <c r="G52" s="1">
        <f t="shared" si="2"/>
        <v>1.339292378456336E-2</v>
      </c>
      <c r="H52" s="1">
        <v>111.413589</v>
      </c>
      <c r="I52" s="1">
        <f t="shared" si="3"/>
        <v>-5.1635713868400934E-3</v>
      </c>
      <c r="J52" s="1">
        <v>113.714676</v>
      </c>
      <c r="K52" s="1">
        <f t="shared" si="4"/>
        <v>-3.0638897639324592E-3</v>
      </c>
      <c r="L52" s="1"/>
      <c r="M52" s="35">
        <v>0.18493518383656141</v>
      </c>
      <c r="N52" s="35">
        <v>0.27955247904044328</v>
      </c>
      <c r="O52" s="35">
        <v>0.05</v>
      </c>
      <c r="P52" s="35">
        <v>0.17307756664417193</v>
      </c>
      <c r="Q52" s="35">
        <v>0.31243477047882329</v>
      </c>
      <c r="R52" s="20"/>
      <c r="S52" s="21">
        <v>2.6045494774472999E-3</v>
      </c>
      <c r="T52" s="18">
        <v>1.086431464971555E-2</v>
      </c>
      <c r="U52" s="18">
        <v>2.6045494770991851E-3</v>
      </c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5">
        <v>42723</v>
      </c>
      <c r="B53" s="1">
        <v>237.97226000000001</v>
      </c>
      <c r="C53" s="1">
        <f t="shared" si="0"/>
        <v>8.6647236530530414E-3</v>
      </c>
      <c r="D53" s="1">
        <v>132.008453</v>
      </c>
      <c r="E53" s="1">
        <f t="shared" si="1"/>
        <v>-4.4401673927962904E-4</v>
      </c>
      <c r="F53" s="1">
        <v>22.296692</v>
      </c>
      <c r="G53" s="1">
        <f t="shared" si="2"/>
        <v>4.405172832422144E-3</v>
      </c>
      <c r="H53" s="1">
        <v>112.117172</v>
      </c>
      <c r="I53" s="1">
        <f t="shared" si="3"/>
        <v>6.3150555180480072E-3</v>
      </c>
      <c r="J53" s="1">
        <v>114.598068</v>
      </c>
      <c r="K53" s="1">
        <f t="shared" si="4"/>
        <v>7.7684959503381279E-3</v>
      </c>
      <c r="L53" s="1"/>
      <c r="M53" s="35">
        <v>0.19332966219332751</v>
      </c>
      <c r="N53" s="35">
        <v>0.29975506522631379</v>
      </c>
      <c r="O53" s="35">
        <v>0.05</v>
      </c>
      <c r="P53" s="35">
        <v>0.11437231319326549</v>
      </c>
      <c r="Q53" s="35">
        <v>0.34254295938709323</v>
      </c>
      <c r="R53" s="20"/>
      <c r="S53" s="21">
        <v>2.6827137137574262E-3</v>
      </c>
      <c r="T53" s="18">
        <v>1.1337112677794765E-2</v>
      </c>
      <c r="U53" s="18">
        <v>2.6827137134121742E-3</v>
      </c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5">
        <v>42730</v>
      </c>
      <c r="B54" s="1">
        <v>236.471161</v>
      </c>
      <c r="C54" s="1">
        <f t="shared" si="0"/>
        <v>-6.3078738673154611E-3</v>
      </c>
      <c r="D54" s="1">
        <v>131.060303</v>
      </c>
      <c r="E54" s="1">
        <f t="shared" si="1"/>
        <v>-7.1824945937363216E-3</v>
      </c>
      <c r="F54" s="1">
        <v>21.856625000000001</v>
      </c>
      <c r="G54" s="1">
        <f t="shared" si="2"/>
        <v>-1.9736873972156954E-2</v>
      </c>
      <c r="H54" s="1">
        <v>113.245605</v>
      </c>
      <c r="I54" s="1">
        <f t="shared" si="3"/>
        <v>1.0064765101281736E-2</v>
      </c>
      <c r="J54" s="1">
        <v>115.949234</v>
      </c>
      <c r="K54" s="1">
        <f t="shared" si="4"/>
        <v>1.1790478003520954E-2</v>
      </c>
      <c r="L54" s="1"/>
      <c r="M54" s="35">
        <v>0.20182423066466701</v>
      </c>
      <c r="N54" s="35">
        <v>0.31989005254468134</v>
      </c>
      <c r="O54" s="35">
        <v>0.05</v>
      </c>
      <c r="P54" s="35">
        <v>5.5066611787399779E-2</v>
      </c>
      <c r="Q54" s="35">
        <v>0.37321910500325184</v>
      </c>
      <c r="R54" s="20"/>
      <c r="S54" s="21">
        <v>2.7608779500675525E-3</v>
      </c>
      <c r="T54" s="18">
        <v>1.181795831212128E-2</v>
      </c>
      <c r="U54" s="18">
        <v>2.7608779499403496E-3</v>
      </c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5">
        <v>42737</v>
      </c>
      <c r="B55" s="1">
        <v>241.85333299999999</v>
      </c>
      <c r="C55" s="1">
        <f t="shared" si="0"/>
        <v>2.276037372692552E-2</v>
      </c>
      <c r="D55" s="1">
        <v>130.52269000000001</v>
      </c>
      <c r="E55" s="1">
        <f t="shared" si="1"/>
        <v>-4.1020277513015291E-3</v>
      </c>
      <c r="F55" s="1">
        <v>21.758835000000001</v>
      </c>
      <c r="G55" s="1">
        <f t="shared" si="2"/>
        <v>-4.4741582929660462E-3</v>
      </c>
      <c r="H55" s="1">
        <v>113.73848</v>
      </c>
      <c r="I55" s="1">
        <f t="shared" si="3"/>
        <v>4.3522660327524054E-3</v>
      </c>
      <c r="J55" s="1">
        <v>117.633064</v>
      </c>
      <c r="K55" s="1">
        <f t="shared" si="4"/>
        <v>1.45221312975643E-2</v>
      </c>
      <c r="L55" s="1"/>
      <c r="M55" s="35">
        <v>0.20134914503790222</v>
      </c>
      <c r="N55" s="35">
        <v>0.34605917479698739</v>
      </c>
      <c r="O55" s="35">
        <v>0.05</v>
      </c>
      <c r="P55" s="35">
        <v>0.05</v>
      </c>
      <c r="Q55" s="35">
        <v>0.35259168016511033</v>
      </c>
      <c r="R55" s="20"/>
      <c r="S55" s="21">
        <v>2.8390421863776789E-3</v>
      </c>
      <c r="T55" s="18">
        <v>1.231538257967324E-2</v>
      </c>
      <c r="U55" s="18">
        <v>2.839042185630056E-3</v>
      </c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5">
        <v>42744</v>
      </c>
      <c r="B56" s="1">
        <v>241.260818</v>
      </c>
      <c r="C56" s="1">
        <f t="shared" si="0"/>
        <v>-2.4498938784522917E-3</v>
      </c>
      <c r="D56" s="1">
        <v>131.99868799999999</v>
      </c>
      <c r="E56" s="1">
        <f t="shared" si="1"/>
        <v>1.1308363319818104E-2</v>
      </c>
      <c r="F56" s="1">
        <v>21.758835000000001</v>
      </c>
      <c r="G56" s="1">
        <f t="shared" si="2"/>
        <v>0</v>
      </c>
      <c r="H56" s="1">
        <v>113.825462</v>
      </c>
      <c r="I56" s="1">
        <f t="shared" si="3"/>
        <v>7.647543733659834E-4</v>
      </c>
      <c r="J56" s="1">
        <v>118.071045</v>
      </c>
      <c r="K56" s="1">
        <f t="shared" si="4"/>
        <v>3.7232814066630038E-3</v>
      </c>
      <c r="L56" s="1"/>
      <c r="M56" s="35">
        <v>0.20003704422547422</v>
      </c>
      <c r="N56" s="35">
        <v>0.37279109139033872</v>
      </c>
      <c r="O56" s="35">
        <v>0.05</v>
      </c>
      <c r="P56" s="35">
        <v>0.05</v>
      </c>
      <c r="Q56" s="35">
        <v>0.32717186438418699</v>
      </c>
      <c r="R56" s="20"/>
      <c r="S56" s="21">
        <v>2.9172064226878052E-3</v>
      </c>
      <c r="T56" s="18">
        <v>1.2840540340090086E-2</v>
      </c>
      <c r="U56" s="18">
        <v>2.917206421879941E-3</v>
      </c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5">
        <v>42751</v>
      </c>
      <c r="B57" s="1">
        <v>229.31134</v>
      </c>
      <c r="C57" s="1">
        <f t="shared" si="0"/>
        <v>-4.9529294060505102E-2</v>
      </c>
      <c r="D57" s="1">
        <v>132.54608200000001</v>
      </c>
      <c r="E57" s="1">
        <f t="shared" si="1"/>
        <v>4.1469654607477757E-3</v>
      </c>
      <c r="F57" s="1">
        <v>21.661041000000001</v>
      </c>
      <c r="G57" s="1">
        <f t="shared" si="2"/>
        <v>-4.4944501854075058E-3</v>
      </c>
      <c r="H57" s="1">
        <v>113.380898</v>
      </c>
      <c r="I57" s="1">
        <f t="shared" si="3"/>
        <v>-3.9056639190271358E-3</v>
      </c>
      <c r="J57" s="1">
        <v>116.73764</v>
      </c>
      <c r="K57" s="1">
        <f t="shared" si="4"/>
        <v>-1.1293242979258822E-2</v>
      </c>
      <c r="L57" s="1"/>
      <c r="M57" s="35">
        <v>0.19872494340725469</v>
      </c>
      <c r="N57" s="35">
        <v>0.39952300800910778</v>
      </c>
      <c r="O57" s="35">
        <v>0.05</v>
      </c>
      <c r="P57" s="35">
        <v>0.05</v>
      </c>
      <c r="Q57" s="35">
        <v>0.30175204858363747</v>
      </c>
      <c r="R57" s="20"/>
      <c r="S57" s="21">
        <v>2.9953706589979315E-3</v>
      </c>
      <c r="T57" s="18">
        <v>1.3390267214169199E-2</v>
      </c>
      <c r="U57" s="18">
        <v>2.9953706581900613E-3</v>
      </c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5">
        <v>42758</v>
      </c>
      <c r="B58" s="1">
        <v>234.00225800000001</v>
      </c>
      <c r="C58" s="1">
        <f t="shared" si="0"/>
        <v>2.0456546108884144E-2</v>
      </c>
      <c r="D58" s="1">
        <v>135.21456900000001</v>
      </c>
      <c r="E58" s="1">
        <f t="shared" si="1"/>
        <v>2.013252266483434E-2</v>
      </c>
      <c r="F58" s="1">
        <v>21.318767999999999</v>
      </c>
      <c r="G58" s="1">
        <f t="shared" si="2"/>
        <v>-1.5801318136095199E-2</v>
      </c>
      <c r="H58" s="1">
        <v>113.400215</v>
      </c>
      <c r="I58" s="1">
        <f t="shared" si="3"/>
        <v>1.7037261426522399E-4</v>
      </c>
      <c r="J58" s="1">
        <v>116.435913</v>
      </c>
      <c r="K58" s="1">
        <f t="shared" si="4"/>
        <v>-2.5846590696881888E-3</v>
      </c>
      <c r="L58" s="1"/>
      <c r="M58" s="35">
        <v>0.19741284260367115</v>
      </c>
      <c r="N58" s="35">
        <v>0.4262549246131303</v>
      </c>
      <c r="O58" s="35">
        <v>0.05</v>
      </c>
      <c r="P58" s="35">
        <v>0.05</v>
      </c>
      <c r="Q58" s="35">
        <v>0.27633223278319852</v>
      </c>
      <c r="R58" s="20"/>
      <c r="S58" s="21">
        <v>3.0735348953080579E-3</v>
      </c>
      <c r="T58" s="18">
        <v>1.3961661348067712E-2</v>
      </c>
      <c r="U58" s="18">
        <v>3.0735348945001911E-3</v>
      </c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5">
        <v>42765</v>
      </c>
      <c r="B59" s="1">
        <v>237.952484</v>
      </c>
      <c r="C59" s="1">
        <f t="shared" si="0"/>
        <v>1.6881144796474512E-2</v>
      </c>
      <c r="D59" s="1">
        <v>134.872467</v>
      </c>
      <c r="E59" s="1">
        <f t="shared" si="1"/>
        <v>-2.5300675994464061E-3</v>
      </c>
      <c r="F59" s="1">
        <v>21.269870999999998</v>
      </c>
      <c r="G59" s="1">
        <f t="shared" si="2"/>
        <v>-2.2936128391659594E-3</v>
      </c>
      <c r="H59" s="1">
        <v>113.119957</v>
      </c>
      <c r="I59" s="1">
        <f t="shared" si="3"/>
        <v>-2.4714062490975852E-3</v>
      </c>
      <c r="J59" s="1">
        <v>115.822731</v>
      </c>
      <c r="K59" s="1">
        <f t="shared" si="4"/>
        <v>-5.2662617933008082E-3</v>
      </c>
      <c r="L59" s="1"/>
      <c r="M59" s="35">
        <v>0.19610074178890358</v>
      </c>
      <c r="N59" s="35">
        <v>0.45298684122842053</v>
      </c>
      <c r="O59" s="35">
        <v>0.05</v>
      </c>
      <c r="P59" s="35">
        <v>0.05</v>
      </c>
      <c r="Q59" s="35">
        <v>0.25091241698267575</v>
      </c>
      <c r="R59" s="20"/>
      <c r="S59" s="21">
        <v>3.1516991316181842E-3</v>
      </c>
      <c r="T59" s="18">
        <v>1.4552170656616719E-2</v>
      </c>
      <c r="U59" s="18">
        <v>3.1516991308103109E-3</v>
      </c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5">
        <v>42772</v>
      </c>
      <c r="B60" s="1">
        <v>239.70048499999999</v>
      </c>
      <c r="C60" s="1">
        <f t="shared" si="0"/>
        <v>7.3460086258230195E-3</v>
      </c>
      <c r="D60" s="1">
        <v>136.70036300000001</v>
      </c>
      <c r="E60" s="1">
        <f t="shared" si="1"/>
        <v>1.3552773524933004E-2</v>
      </c>
      <c r="F60" s="1">
        <v>21.26005</v>
      </c>
      <c r="G60" s="1">
        <f t="shared" si="2"/>
        <v>-4.6173293669715676E-4</v>
      </c>
      <c r="H60" s="1">
        <v>113.890541</v>
      </c>
      <c r="I60" s="1">
        <f t="shared" si="3"/>
        <v>6.8120959416559934E-3</v>
      </c>
      <c r="J60" s="1">
        <v>117.789772</v>
      </c>
      <c r="K60" s="1">
        <f t="shared" si="4"/>
        <v>1.6983203409354886E-2</v>
      </c>
      <c r="L60" s="1"/>
      <c r="M60" s="35">
        <v>0.19478864096042453</v>
      </c>
      <c r="N60" s="35">
        <v>0.47971875785753232</v>
      </c>
      <c r="O60" s="35">
        <v>0.05</v>
      </c>
      <c r="P60" s="35">
        <v>0.05</v>
      </c>
      <c r="Q60" s="35">
        <v>0.22549260118204306</v>
      </c>
      <c r="R60" s="20"/>
      <c r="S60" s="21">
        <v>3.2298633679283106E-3</v>
      </c>
      <c r="T60" s="18">
        <v>1.5159561528301713E-2</v>
      </c>
      <c r="U60" s="18">
        <v>3.2298633671204412E-3</v>
      </c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5">
        <v>42779</v>
      </c>
      <c r="B61" s="1">
        <v>247.26518200000001</v>
      </c>
      <c r="C61" s="1">
        <f t="shared" si="0"/>
        <v>3.1558955752634565E-2</v>
      </c>
      <c r="D61" s="1">
        <v>139.779404</v>
      </c>
      <c r="E61" s="1">
        <f t="shared" si="1"/>
        <v>2.2524014804554682E-2</v>
      </c>
      <c r="F61" s="1">
        <v>21.309152999999998</v>
      </c>
      <c r="G61" s="1">
        <f t="shared" si="2"/>
        <v>2.3096370892823348E-3</v>
      </c>
      <c r="H61" s="1">
        <v>114.09404000000001</v>
      </c>
      <c r="I61" s="1">
        <f t="shared" si="3"/>
        <v>1.7867945679528319E-3</v>
      </c>
      <c r="J61" s="1">
        <v>117.36058800000001</v>
      </c>
      <c r="K61" s="1">
        <f t="shared" si="4"/>
        <v>-3.643644033880955E-3</v>
      </c>
      <c r="L61" s="1"/>
      <c r="M61" s="35">
        <v>0.20019998373998768</v>
      </c>
      <c r="N61" s="35">
        <v>0.5</v>
      </c>
      <c r="O61" s="35">
        <v>0.05</v>
      </c>
      <c r="P61" s="35">
        <v>0.05</v>
      </c>
      <c r="Q61" s="35">
        <v>0.1998000162600122</v>
      </c>
      <c r="R61" s="22"/>
      <c r="S61" s="22">
        <v>3.3080276042384369E-3</v>
      </c>
      <c r="T61" s="21">
        <v>1.5791476656711892E-2</v>
      </c>
      <c r="U61" s="21">
        <v>3.3090276037983984E-3</v>
      </c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5">
        <v>42786</v>
      </c>
      <c r="B62" s="1">
        <v>244.27288799999999</v>
      </c>
      <c r="C62" s="1">
        <f t="shared" si="0"/>
        <v>-1.2101558237180399E-2</v>
      </c>
      <c r="D62" s="1">
        <v>142.66296399999999</v>
      </c>
      <c r="E62" s="1">
        <f t="shared" si="1"/>
        <v>2.0629362534697826E-2</v>
      </c>
      <c r="F62" s="1">
        <v>21.26005</v>
      </c>
      <c r="G62" s="1">
        <f t="shared" si="2"/>
        <v>-2.3043149579901057E-3</v>
      </c>
      <c r="H62" s="1">
        <v>115.10183000000001</v>
      </c>
      <c r="I62" s="1">
        <f t="shared" si="3"/>
        <v>8.8329767269175186E-3</v>
      </c>
      <c r="J62" s="1">
        <v>119.00902600000001</v>
      </c>
      <c r="K62" s="1">
        <f t="shared" si="4"/>
        <v>1.4045924855114134E-2</v>
      </c>
      <c r="L62" s="1"/>
      <c r="M62" s="35">
        <v>0.22541342185339994</v>
      </c>
      <c r="N62" s="35">
        <v>0.5</v>
      </c>
      <c r="O62" s="35">
        <v>0.05</v>
      </c>
      <c r="P62" s="35">
        <v>0.05</v>
      </c>
      <c r="Q62" s="35">
        <v>0.17458657814659995</v>
      </c>
      <c r="R62" s="20"/>
      <c r="S62" s="21">
        <v>3.3861918405485632E-3</v>
      </c>
      <c r="T62" s="18">
        <v>1.6461695253489964E-2</v>
      </c>
      <c r="U62" s="18">
        <v>3.3871918405485599E-3</v>
      </c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5">
        <v>42793</v>
      </c>
      <c r="B63" s="1">
        <v>249.74395799999999</v>
      </c>
      <c r="C63" s="1">
        <f t="shared" si="0"/>
        <v>2.2397368962207453E-2</v>
      </c>
      <c r="D63" s="1">
        <v>144.481064</v>
      </c>
      <c r="E63" s="1">
        <f t="shared" si="1"/>
        <v>1.2744022337850769E-2</v>
      </c>
      <c r="F63" s="1">
        <v>21.161854000000002</v>
      </c>
      <c r="G63" s="1">
        <f t="shared" si="2"/>
        <v>-4.6188038127848996E-3</v>
      </c>
      <c r="H63" s="1">
        <v>113.861465</v>
      </c>
      <c r="I63" s="1">
        <f t="shared" si="3"/>
        <v>-1.0776240482014976E-2</v>
      </c>
      <c r="J63" s="1">
        <v>116.414444</v>
      </c>
      <c r="K63" s="1">
        <f t="shared" si="4"/>
        <v>-2.1801556463456828E-2</v>
      </c>
      <c r="L63" s="1"/>
      <c r="M63" s="35">
        <v>0.25030428982469533</v>
      </c>
      <c r="N63" s="35">
        <v>0.5</v>
      </c>
      <c r="O63" s="35">
        <v>0.05</v>
      </c>
      <c r="P63" s="35">
        <v>0.05</v>
      </c>
      <c r="Q63" s="35">
        <v>0.14969571017530459</v>
      </c>
      <c r="R63" s="20"/>
      <c r="S63" s="21">
        <v>3.4643560768586892E-3</v>
      </c>
      <c r="T63" s="18">
        <v>1.7175328049492837E-2</v>
      </c>
      <c r="U63" s="18">
        <v>3.4643560768686521E-3</v>
      </c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5">
        <v>42800</v>
      </c>
      <c r="B64" s="1">
        <v>245.93121300000001</v>
      </c>
      <c r="C64" s="1">
        <f t="shared" si="0"/>
        <v>-1.5266615579144327E-2</v>
      </c>
      <c r="D64" s="1">
        <v>143.542709</v>
      </c>
      <c r="E64" s="1">
        <f t="shared" si="1"/>
        <v>-6.4946573206299263E-3</v>
      </c>
      <c r="F64" s="1">
        <v>20.867253999999999</v>
      </c>
      <c r="G64" s="1">
        <f t="shared" si="2"/>
        <v>-1.3921275517731257E-2</v>
      </c>
      <c r="H64" s="1">
        <v>112.72273300000001</v>
      </c>
      <c r="I64" s="1">
        <f t="shared" si="3"/>
        <v>-1.0001030638416508E-2</v>
      </c>
      <c r="J64" s="1">
        <v>114.586342</v>
      </c>
      <c r="K64" s="1">
        <f t="shared" si="4"/>
        <v>-1.5703395018576871E-2</v>
      </c>
      <c r="L64" s="1"/>
      <c r="M64" s="35">
        <v>0.27551772779616629</v>
      </c>
      <c r="N64" s="35">
        <v>0.5</v>
      </c>
      <c r="O64" s="35">
        <v>0.05</v>
      </c>
      <c r="P64" s="35">
        <v>0.05</v>
      </c>
      <c r="Q64" s="35">
        <v>0.12448227220383368</v>
      </c>
      <c r="R64" s="20"/>
      <c r="S64" s="21">
        <v>3.5425203131688155E-3</v>
      </c>
      <c r="T64" s="18">
        <v>1.79445353825733E-2</v>
      </c>
      <c r="U64" s="18">
        <v>3.5425203131787815E-3</v>
      </c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5">
        <v>42807</v>
      </c>
      <c r="B65" s="1">
        <v>241.534988</v>
      </c>
      <c r="C65" s="1">
        <f t="shared" si="0"/>
        <v>-1.7875831808303322E-2</v>
      </c>
      <c r="D65" s="1">
        <v>147.12072800000001</v>
      </c>
      <c r="E65" s="1">
        <f t="shared" si="1"/>
        <v>2.4926511593145406E-2</v>
      </c>
      <c r="F65" s="1">
        <v>21.210953</v>
      </c>
      <c r="G65" s="1">
        <f t="shared" si="2"/>
        <v>1.647073448188241E-2</v>
      </c>
      <c r="H65" s="1">
        <v>113.509789</v>
      </c>
      <c r="I65" s="1">
        <f t="shared" si="3"/>
        <v>6.9822295738695139E-3</v>
      </c>
      <c r="J65" s="1">
        <v>115.944771</v>
      </c>
      <c r="K65" s="1">
        <f t="shared" si="4"/>
        <v>1.1855069079698799E-2</v>
      </c>
      <c r="L65" s="1"/>
      <c r="M65" s="35">
        <v>0.30073116576763442</v>
      </c>
      <c r="N65" s="35">
        <v>0.5</v>
      </c>
      <c r="O65" s="35">
        <v>0.05</v>
      </c>
      <c r="P65" s="35">
        <v>0.05</v>
      </c>
      <c r="Q65" s="35">
        <v>9.9268834232365544E-2</v>
      </c>
      <c r="R65" s="20"/>
      <c r="S65" s="21">
        <v>3.6206845494789418E-3</v>
      </c>
      <c r="T65" s="18">
        <v>1.8754654687621459E-2</v>
      </c>
      <c r="U65" s="18">
        <v>3.6206845494889022E-3</v>
      </c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5">
        <v>42814</v>
      </c>
      <c r="B66" s="1">
        <v>226.158096</v>
      </c>
      <c r="C66" s="1">
        <f t="shared" si="0"/>
        <v>-6.3663207253435217E-2</v>
      </c>
      <c r="D66" s="1">
        <v>145.26203899999999</v>
      </c>
      <c r="E66" s="1">
        <f t="shared" si="1"/>
        <v>-1.2633767010723496E-2</v>
      </c>
      <c r="F66" s="1">
        <v>20.719957000000001</v>
      </c>
      <c r="G66" s="1">
        <f t="shared" si="2"/>
        <v>-2.3148229124829944E-2</v>
      </c>
      <c r="H66" s="1">
        <v>114.384293</v>
      </c>
      <c r="I66" s="1">
        <f t="shared" si="3"/>
        <v>7.7042165940419682E-3</v>
      </c>
      <c r="J66" s="1">
        <v>118.133865</v>
      </c>
      <c r="K66" s="1">
        <f t="shared" si="4"/>
        <v>1.888048922878971E-2</v>
      </c>
      <c r="L66" s="1"/>
      <c r="M66" s="35">
        <v>0.32594460373910539</v>
      </c>
      <c r="N66" s="35">
        <v>0.5</v>
      </c>
      <c r="O66" s="35">
        <v>0.05</v>
      </c>
      <c r="P66" s="35">
        <v>0.05</v>
      </c>
      <c r="Q66" s="35">
        <v>7.4055396260894524E-2</v>
      </c>
      <c r="R66" s="20"/>
      <c r="S66" s="21">
        <v>3.6988487857890682E-3</v>
      </c>
      <c r="T66" s="18">
        <v>1.9600613783098516E-2</v>
      </c>
      <c r="U66" s="18">
        <v>3.698848785799032E-3</v>
      </c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5">
        <v>42821</v>
      </c>
      <c r="B67" s="1">
        <v>227.455185</v>
      </c>
      <c r="C67" s="1">
        <f t="shared" si="0"/>
        <v>5.7353197738276851E-3</v>
      </c>
      <c r="D67" s="1">
        <v>144.396637</v>
      </c>
      <c r="E67" s="1">
        <f t="shared" si="1"/>
        <v>-5.9575234242718045E-3</v>
      </c>
      <c r="F67" s="1">
        <v>20.376263000000002</v>
      </c>
      <c r="G67" s="1">
        <f t="shared" si="2"/>
        <v>-1.6587582686585667E-2</v>
      </c>
      <c r="H67" s="1">
        <v>114.568916</v>
      </c>
      <c r="I67" s="1">
        <f t="shared" si="3"/>
        <v>1.6140590211979333E-3</v>
      </c>
      <c r="J67" s="1">
        <v>117.967743</v>
      </c>
      <c r="K67" s="1">
        <f t="shared" si="4"/>
        <v>-1.406218276190363E-3</v>
      </c>
      <c r="L67" s="1"/>
      <c r="M67" s="35">
        <v>0.5</v>
      </c>
      <c r="N67" s="35">
        <v>0.34999999999999992</v>
      </c>
      <c r="O67" s="35">
        <v>0.05</v>
      </c>
      <c r="P67" s="35">
        <v>0.05</v>
      </c>
      <c r="Q67" s="35">
        <v>5.0000000000000044E-2</v>
      </c>
      <c r="R67" s="20"/>
      <c r="S67" s="21">
        <v>3.7770130220991945E-3</v>
      </c>
      <c r="T67" s="18">
        <v>2.2268046421421876E-2</v>
      </c>
      <c r="U67" s="18">
        <v>3.7770130220991954E-3</v>
      </c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5">
        <v>42828</v>
      </c>
      <c r="B68" s="1">
        <v>225.63331600000001</v>
      </c>
      <c r="C68" s="1">
        <f t="shared" ref="C68:C106" si="5">B68/B67-1</f>
        <v>-8.0097932258611504E-3</v>
      </c>
      <c r="D68" s="1">
        <v>144.691666</v>
      </c>
      <c r="E68" s="1">
        <f t="shared" ref="E68:E106" si="6">D68/D67-1</f>
        <v>2.0431847038100415E-3</v>
      </c>
      <c r="F68" s="1">
        <v>19.688867999999999</v>
      </c>
      <c r="G68" s="1">
        <f t="shared" ref="G68:G106" si="7">F68/F67-1</f>
        <v>-3.3735086752659349E-2</v>
      </c>
      <c r="H68" s="1">
        <v>114.442589</v>
      </c>
      <c r="I68" s="1">
        <f t="shared" ref="I68:I106" si="8">H68/H67-1</f>
        <v>-1.102628918999371E-3</v>
      </c>
      <c r="J68" s="1">
        <v>117.967743</v>
      </c>
      <c r="K68" s="1">
        <f t="shared" ref="K68:K106" si="9">J68/J67-1</f>
        <v>0</v>
      </c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5">
        <v>42835</v>
      </c>
      <c r="B69" s="1">
        <v>221.11828600000001</v>
      </c>
      <c r="C69" s="1">
        <f t="shared" si="5"/>
        <v>-2.00104757579328E-2</v>
      </c>
      <c r="D69" s="1">
        <v>143.49186700000001</v>
      </c>
      <c r="E69" s="1">
        <f t="shared" si="6"/>
        <v>-8.2921085448002252E-3</v>
      </c>
      <c r="F69" s="1">
        <v>18.755980999999998</v>
      </c>
      <c r="G69" s="1">
        <f t="shared" si="7"/>
        <v>-4.7381444174444232E-2</v>
      </c>
      <c r="H69" s="1">
        <v>116.07711</v>
      </c>
      <c r="I69" s="1">
        <f t="shared" si="8"/>
        <v>1.4282453886114155E-2</v>
      </c>
      <c r="J69" s="1">
        <v>120.92049400000001</v>
      </c>
      <c r="K69" s="1">
        <f t="shared" si="9"/>
        <v>2.5030155913044805E-2</v>
      </c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5">
        <v>42842</v>
      </c>
      <c r="B70" s="1">
        <v>214.72197</v>
      </c>
      <c r="C70" s="1">
        <f t="shared" si="5"/>
        <v>-2.8927123648199826E-2</v>
      </c>
      <c r="D70" s="1">
        <v>147.514084</v>
      </c>
      <c r="E70" s="1">
        <f t="shared" si="6"/>
        <v>2.803097544197386E-2</v>
      </c>
      <c r="F70" s="1">
        <v>19.296074000000001</v>
      </c>
      <c r="G70" s="1">
        <f t="shared" si="7"/>
        <v>2.8795774531868101E-2</v>
      </c>
      <c r="H70" s="1">
        <v>116.018654</v>
      </c>
      <c r="I70" s="1">
        <f t="shared" si="8"/>
        <v>-5.0359627320151201E-4</v>
      </c>
      <c r="J70" s="1">
        <v>120.989037</v>
      </c>
      <c r="K70" s="1">
        <f t="shared" si="9"/>
        <v>5.6684353274305543E-4</v>
      </c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5">
        <v>42849</v>
      </c>
      <c r="B71" s="1">
        <v>221.593536</v>
      </c>
      <c r="C71" s="1">
        <f t="shared" si="5"/>
        <v>3.2002156090501499E-2</v>
      </c>
      <c r="D71" s="1">
        <v>153.51300000000001</v>
      </c>
      <c r="E71" s="1">
        <f t="shared" si="6"/>
        <v>4.0666733896405516E-2</v>
      </c>
      <c r="F71" s="1">
        <v>19.639771</v>
      </c>
      <c r="G71" s="1">
        <f t="shared" si="7"/>
        <v>1.7811757977296283E-2</v>
      </c>
      <c r="H71" s="1">
        <v>115.930969</v>
      </c>
      <c r="I71" s="1">
        <f t="shared" si="8"/>
        <v>-7.5578363458683739E-4</v>
      </c>
      <c r="J71" s="1">
        <v>119.82360799999999</v>
      </c>
      <c r="K71" s="1">
        <f t="shared" si="9"/>
        <v>-9.6325173660155583E-3</v>
      </c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5">
        <v>42856</v>
      </c>
      <c r="B72" s="1">
        <v>224.63327000000001</v>
      </c>
      <c r="C72" s="1">
        <f t="shared" si="5"/>
        <v>1.3717611329601365E-2</v>
      </c>
      <c r="D72" s="1">
        <v>153.14910900000001</v>
      </c>
      <c r="E72" s="1">
        <f t="shared" si="6"/>
        <v>-2.3704246545894758E-3</v>
      </c>
      <c r="F72" s="1">
        <v>19.737970000000001</v>
      </c>
      <c r="G72" s="1">
        <f t="shared" si="7"/>
        <v>5.0000073829781222E-3</v>
      </c>
      <c r="H72" s="1">
        <v>115.35614</v>
      </c>
      <c r="I72" s="1">
        <f t="shared" si="8"/>
        <v>-4.9583731159877908E-3</v>
      </c>
      <c r="J72" s="1">
        <v>118.7855</v>
      </c>
      <c r="K72" s="1">
        <f t="shared" si="9"/>
        <v>-8.6636349658240075E-3</v>
      </c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5">
        <v>42863</v>
      </c>
      <c r="B73" s="1">
        <v>220.62321499999999</v>
      </c>
      <c r="C73" s="1">
        <f t="shared" si="5"/>
        <v>-1.7851563127759373E-2</v>
      </c>
      <c r="D73" s="1">
        <v>154.31939700000001</v>
      </c>
      <c r="E73" s="1">
        <f t="shared" si="6"/>
        <v>7.6414940161355638E-3</v>
      </c>
      <c r="F73" s="1">
        <v>19.826746</v>
      </c>
      <c r="G73" s="1">
        <f t="shared" si="7"/>
        <v>4.497726969896032E-3</v>
      </c>
      <c r="H73" s="1">
        <v>116.284622</v>
      </c>
      <c r="I73" s="1">
        <f t="shared" si="8"/>
        <v>8.0488303440111597E-3</v>
      </c>
      <c r="J73" s="1">
        <v>119.131737</v>
      </c>
      <c r="K73" s="1">
        <f t="shared" si="9"/>
        <v>2.9148086256318706E-3</v>
      </c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5">
        <v>42870</v>
      </c>
      <c r="B74" s="1">
        <v>213.26646400000001</v>
      </c>
      <c r="C74" s="1">
        <f t="shared" si="5"/>
        <v>-3.3345316810835079E-2</v>
      </c>
      <c r="D74" s="1">
        <v>153.709686</v>
      </c>
      <c r="E74" s="1">
        <f t="shared" si="6"/>
        <v>-3.9509680043656736E-3</v>
      </c>
      <c r="F74" s="1">
        <v>19.284223999999998</v>
      </c>
      <c r="G74" s="1">
        <f t="shared" si="7"/>
        <v>-2.736313866128115E-2</v>
      </c>
      <c r="H74" s="1">
        <v>117.202934</v>
      </c>
      <c r="I74" s="1">
        <f t="shared" si="8"/>
        <v>7.8971061195005632E-3</v>
      </c>
      <c r="J74" s="1">
        <v>121.408562</v>
      </c>
      <c r="K74" s="1">
        <f t="shared" si="9"/>
        <v>1.9111825759746903E-2</v>
      </c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5">
        <v>42877</v>
      </c>
      <c r="B75" s="1">
        <v>221.32620199999999</v>
      </c>
      <c r="C75" s="1">
        <f t="shared" si="5"/>
        <v>3.7791867735941675E-2</v>
      </c>
      <c r="D75" s="1">
        <v>152.33287000000001</v>
      </c>
      <c r="E75" s="1">
        <f t="shared" si="6"/>
        <v>-8.9572494475070874E-3</v>
      </c>
      <c r="F75" s="1">
        <v>19.629465</v>
      </c>
      <c r="G75" s="1">
        <f t="shared" si="7"/>
        <v>1.7902768605052577E-2</v>
      </c>
      <c r="H75" s="1">
        <v>117.06616200000001</v>
      </c>
      <c r="I75" s="1">
        <f t="shared" si="8"/>
        <v>-1.1669673730181351E-3</v>
      </c>
      <c r="J75" s="1">
        <v>121.18285400000001</v>
      </c>
      <c r="K75" s="1">
        <f t="shared" si="9"/>
        <v>-1.8590781101582854E-3</v>
      </c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5">
        <v>42884</v>
      </c>
      <c r="B76" s="1">
        <v>211.20695499999999</v>
      </c>
      <c r="C76" s="1">
        <f t="shared" si="5"/>
        <v>-4.572096258173719E-2</v>
      </c>
      <c r="D76" s="1">
        <v>152.77542099999999</v>
      </c>
      <c r="E76" s="1">
        <f t="shared" si="6"/>
        <v>2.9051576327550066E-3</v>
      </c>
      <c r="F76" s="1">
        <v>20.122667</v>
      </c>
      <c r="G76" s="1">
        <f t="shared" si="7"/>
        <v>2.5125595628816111E-2</v>
      </c>
      <c r="H76" s="1">
        <v>117.740257</v>
      </c>
      <c r="I76" s="1">
        <f t="shared" si="8"/>
        <v>5.7582395158730648E-3</v>
      </c>
      <c r="J76" s="1">
        <v>123.28304300000001</v>
      </c>
      <c r="K76" s="1">
        <f t="shared" si="9"/>
        <v>1.7330743836087681E-2</v>
      </c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5">
        <v>42891</v>
      </c>
      <c r="B77" s="1">
        <v>220.98841899999999</v>
      </c>
      <c r="C77" s="1">
        <f t="shared" si="5"/>
        <v>4.6312224898086285E-2</v>
      </c>
      <c r="D77" s="1">
        <v>151.29431199999999</v>
      </c>
      <c r="E77" s="1">
        <f t="shared" si="6"/>
        <v>-9.6946811882783201E-3</v>
      </c>
      <c r="F77" s="1">
        <v>20.369268000000002</v>
      </c>
      <c r="G77" s="1">
        <f t="shared" si="7"/>
        <v>1.2254886491934736E-2</v>
      </c>
      <c r="H77" s="1">
        <v>117.590096</v>
      </c>
      <c r="I77" s="1">
        <f t="shared" si="8"/>
        <v>-1.2753581810169834E-3</v>
      </c>
      <c r="J77" s="1">
        <v>122.34438299999999</v>
      </c>
      <c r="K77" s="1">
        <f t="shared" si="9"/>
        <v>-7.6138613807579247E-3</v>
      </c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5">
        <v>42898</v>
      </c>
      <c r="B78" s="1">
        <v>220.36253400000001</v>
      </c>
      <c r="C78" s="1">
        <f t="shared" si="5"/>
        <v>-2.8322072388778929E-3</v>
      </c>
      <c r="D78" s="1">
        <v>154.934235</v>
      </c>
      <c r="E78" s="1">
        <f t="shared" si="6"/>
        <v>2.4058558130063856E-2</v>
      </c>
      <c r="F78" s="1">
        <v>20.122667</v>
      </c>
      <c r="G78" s="1">
        <f t="shared" si="7"/>
        <v>-1.2106522433697808E-2</v>
      </c>
      <c r="H78" s="1">
        <v>118.363907</v>
      </c>
      <c r="I78" s="1">
        <f t="shared" si="8"/>
        <v>6.5805797114069087E-3</v>
      </c>
      <c r="J78" s="1">
        <v>124.262169</v>
      </c>
      <c r="K78" s="1">
        <f t="shared" si="9"/>
        <v>1.5675308935106713E-2</v>
      </c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5">
        <v>42905</v>
      </c>
      <c r="B79" s="1">
        <v>215.77269000000001</v>
      </c>
      <c r="C79" s="1">
        <f t="shared" si="5"/>
        <v>-2.0828604194576883E-2</v>
      </c>
      <c r="D79" s="1">
        <v>149.66227699999999</v>
      </c>
      <c r="E79" s="1">
        <f t="shared" si="6"/>
        <v>-3.4027069614407712E-2</v>
      </c>
      <c r="F79" s="1">
        <v>19.629465</v>
      </c>
      <c r="G79" s="1">
        <f t="shared" si="7"/>
        <v>-2.450977298386936E-2</v>
      </c>
      <c r="H79" s="1">
        <v>118.69695299999999</v>
      </c>
      <c r="I79" s="1">
        <f t="shared" si="8"/>
        <v>2.8137462545909653E-3</v>
      </c>
      <c r="J79" s="1">
        <v>125.668533</v>
      </c>
      <c r="K79" s="1">
        <f t="shared" si="9"/>
        <v>1.1317716496643371E-2</v>
      </c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5">
        <v>42912</v>
      </c>
      <c r="B80" s="1">
        <v>220.45193499999999</v>
      </c>
      <c r="C80" s="1">
        <f t="shared" si="5"/>
        <v>2.1685992791766084E-2</v>
      </c>
      <c r="D80" s="1">
        <v>151.72950700000001</v>
      </c>
      <c r="E80" s="1">
        <f t="shared" si="6"/>
        <v>1.3812632290767679E-2</v>
      </c>
      <c r="F80" s="1">
        <v>20.369268000000002</v>
      </c>
      <c r="G80" s="1">
        <f t="shared" si="7"/>
        <v>3.7688393443224388E-2</v>
      </c>
      <c r="H80" s="1">
        <v>118.040672</v>
      </c>
      <c r="I80" s="1">
        <f t="shared" si="8"/>
        <v>-5.5290467313006131E-3</v>
      </c>
      <c r="J80" s="1">
        <v>123.052498</v>
      </c>
      <c r="K80" s="1">
        <f t="shared" si="9"/>
        <v>-2.0816945479899873E-2</v>
      </c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5">
        <v>42919</v>
      </c>
      <c r="B81" s="1">
        <v>223.80987500000001</v>
      </c>
      <c r="C81" s="1">
        <f t="shared" si="5"/>
        <v>1.5232073150095005E-2</v>
      </c>
      <c r="D81" s="1">
        <v>150.57225</v>
      </c>
      <c r="E81" s="1">
        <f t="shared" si="6"/>
        <v>-7.6271057810792797E-3</v>
      </c>
      <c r="F81" s="1">
        <v>20.221308000000001</v>
      </c>
      <c r="G81" s="1">
        <f t="shared" si="7"/>
        <v>-7.2638840040791797E-3</v>
      </c>
      <c r="H81" s="1">
        <v>117.266869</v>
      </c>
      <c r="I81" s="1">
        <f t="shared" si="8"/>
        <v>-6.5553930428319251E-3</v>
      </c>
      <c r="J81" s="1">
        <v>120.692162</v>
      </c>
      <c r="K81" s="1">
        <f t="shared" si="9"/>
        <v>-1.9181536647878583E-2</v>
      </c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5">
        <v>42926</v>
      </c>
      <c r="B82" s="1">
        <v>227.10823099999999</v>
      </c>
      <c r="C82" s="1">
        <f t="shared" si="5"/>
        <v>1.4737312194111007E-2</v>
      </c>
      <c r="D82" s="1">
        <v>151.21519499999999</v>
      </c>
      <c r="E82" s="1">
        <f t="shared" si="6"/>
        <v>4.2700099121850688E-3</v>
      </c>
      <c r="F82" s="1">
        <v>20.122667</v>
      </c>
      <c r="G82" s="1">
        <f t="shared" si="7"/>
        <v>-4.8780721800983917E-3</v>
      </c>
      <c r="H82" s="1">
        <v>118.413887</v>
      </c>
      <c r="I82" s="1">
        <f t="shared" si="8"/>
        <v>9.7812622591637588E-3</v>
      </c>
      <c r="J82" s="1">
        <v>121.542694</v>
      </c>
      <c r="K82" s="1">
        <f t="shared" si="9"/>
        <v>7.0471187681599989E-3</v>
      </c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5">
        <v>42933</v>
      </c>
      <c r="B83" s="1">
        <v>218.74316400000001</v>
      </c>
      <c r="C83" s="1">
        <f t="shared" si="5"/>
        <v>-3.6832953887963593E-2</v>
      </c>
      <c r="D83" s="1">
        <v>145.05302399999999</v>
      </c>
      <c r="E83" s="1">
        <f t="shared" si="6"/>
        <v>-4.0751003892168347E-2</v>
      </c>
      <c r="F83" s="1">
        <v>22.983242000000001</v>
      </c>
      <c r="G83" s="1">
        <f t="shared" si="7"/>
        <v>0.14215685227012909</v>
      </c>
      <c r="H83" s="1">
        <v>119.376366</v>
      </c>
      <c r="I83" s="1">
        <f t="shared" si="8"/>
        <v>8.1280922735016414E-3</v>
      </c>
      <c r="J83" s="1">
        <v>123.86850699999999</v>
      </c>
      <c r="K83" s="1">
        <f t="shared" si="9"/>
        <v>1.9135769690936666E-2</v>
      </c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5">
        <v>42940</v>
      </c>
      <c r="B84" s="1">
        <v>222.15078700000001</v>
      </c>
      <c r="C84" s="1">
        <f t="shared" si="5"/>
        <v>1.5578191965806898E-2</v>
      </c>
      <c r="D84" s="1">
        <v>146.46745300000001</v>
      </c>
      <c r="E84" s="1">
        <f t="shared" si="6"/>
        <v>9.7511169432773492E-3</v>
      </c>
      <c r="F84" s="1">
        <v>22.884604</v>
      </c>
      <c r="G84" s="1">
        <f t="shared" si="7"/>
        <v>-4.2917356915965765E-3</v>
      </c>
      <c r="H84" s="1">
        <v>118.944221</v>
      </c>
      <c r="I84" s="1">
        <f t="shared" si="8"/>
        <v>-3.6200214035666534E-3</v>
      </c>
      <c r="J84" s="1">
        <v>122.094582</v>
      </c>
      <c r="K84" s="1">
        <f t="shared" si="9"/>
        <v>-1.4321033190462185E-2</v>
      </c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5">
        <v>42947</v>
      </c>
      <c r="B85" s="1">
        <v>228.29045099999999</v>
      </c>
      <c r="C85" s="1">
        <f t="shared" si="5"/>
        <v>2.7637372268233262E-2</v>
      </c>
      <c r="D85" s="1">
        <v>151.08659399999999</v>
      </c>
      <c r="E85" s="1">
        <f t="shared" si="6"/>
        <v>3.1536979072067206E-2</v>
      </c>
      <c r="F85" s="1">
        <v>22.1448</v>
      </c>
      <c r="G85" s="1">
        <f t="shared" si="7"/>
        <v>-3.2327585830193906E-2</v>
      </c>
      <c r="H85" s="1">
        <v>118.58084100000001</v>
      </c>
      <c r="I85" s="1">
        <f t="shared" si="8"/>
        <v>-3.055045440164661E-3</v>
      </c>
      <c r="J85" s="1">
        <v>123.119507</v>
      </c>
      <c r="K85" s="1">
        <f t="shared" si="9"/>
        <v>8.394516637929117E-3</v>
      </c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5">
        <v>42954</v>
      </c>
      <c r="B86" s="1">
        <v>222.68727100000001</v>
      </c>
      <c r="C86" s="1">
        <f t="shared" si="5"/>
        <v>-2.4544083974848308E-2</v>
      </c>
      <c r="D86" s="1">
        <v>153.19340500000001</v>
      </c>
      <c r="E86" s="1">
        <f t="shared" si="6"/>
        <v>1.3944394034059782E-2</v>
      </c>
      <c r="F86" s="1">
        <v>21.586483000000001</v>
      </c>
      <c r="G86" s="1">
        <f t="shared" si="7"/>
        <v>-2.5212103970232214E-2</v>
      </c>
      <c r="H86" s="1">
        <v>118.646843</v>
      </c>
      <c r="I86" s="1">
        <f t="shared" si="8"/>
        <v>5.5659918957728927E-4</v>
      </c>
      <c r="J86" s="1">
        <v>124.868561</v>
      </c>
      <c r="K86" s="1">
        <f t="shared" si="9"/>
        <v>1.4206148502527771E-2</v>
      </c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5">
        <v>42961</v>
      </c>
      <c r="B87" s="1">
        <v>220.70031700000001</v>
      </c>
      <c r="C87" s="1">
        <f t="shared" si="5"/>
        <v>-8.9226204581760449E-3</v>
      </c>
      <c r="D87" s="1">
        <v>145.883881</v>
      </c>
      <c r="E87" s="1">
        <f t="shared" si="6"/>
        <v>-4.7714351671992783E-2</v>
      </c>
      <c r="F87" s="1">
        <v>21.388442999999999</v>
      </c>
      <c r="G87" s="1">
        <f t="shared" si="7"/>
        <v>-9.1742596512828234E-3</v>
      </c>
      <c r="H87" s="1">
        <v>118.80439800000001</v>
      </c>
      <c r="I87" s="1">
        <f t="shared" si="8"/>
        <v>1.3279325097592665E-3</v>
      </c>
      <c r="J87" s="1">
        <v>125.056229</v>
      </c>
      <c r="K87" s="1">
        <f t="shared" si="9"/>
        <v>1.5029243429818262E-3</v>
      </c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5">
        <v>42968</v>
      </c>
      <c r="B88" s="1">
        <v>221.01821899999999</v>
      </c>
      <c r="C88" s="1">
        <f t="shared" si="5"/>
        <v>1.4404238485981047E-3</v>
      </c>
      <c r="D88" s="1">
        <v>148.02034</v>
      </c>
      <c r="E88" s="1">
        <f t="shared" si="6"/>
        <v>1.4644928455118444E-2</v>
      </c>
      <c r="F88" s="1">
        <v>22.032076</v>
      </c>
      <c r="G88" s="1">
        <f t="shared" si="7"/>
        <v>3.0092559799701268E-2</v>
      </c>
      <c r="H88" s="1">
        <v>119.355835</v>
      </c>
      <c r="I88" s="1">
        <f t="shared" si="8"/>
        <v>4.6415537579678201E-3</v>
      </c>
      <c r="J88" s="1">
        <v>125.747574</v>
      </c>
      <c r="K88" s="1">
        <f t="shared" si="9"/>
        <v>5.5282732058072881E-3</v>
      </c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5">
        <v>42975</v>
      </c>
      <c r="B89" s="1">
        <v>224.405991</v>
      </c>
      <c r="C89" s="1">
        <f t="shared" si="5"/>
        <v>1.5328021442431394E-2</v>
      </c>
      <c r="D89" s="1">
        <v>149.138046</v>
      </c>
      <c r="E89" s="1">
        <f t="shared" si="6"/>
        <v>7.5510298111731711E-3</v>
      </c>
      <c r="F89" s="1">
        <v>22.032076</v>
      </c>
      <c r="G89" s="1">
        <f t="shared" si="7"/>
        <v>0</v>
      </c>
      <c r="H89" s="1">
        <v>118.961952</v>
      </c>
      <c r="I89" s="1">
        <f t="shared" si="8"/>
        <v>-3.3000732641181862E-3</v>
      </c>
      <c r="J89" s="1">
        <v>125.18461600000001</v>
      </c>
      <c r="K89" s="1">
        <f t="shared" si="9"/>
        <v>-4.4768895501713368E-3</v>
      </c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5">
        <v>42982</v>
      </c>
      <c r="B90" s="1">
        <v>216.52955600000001</v>
      </c>
      <c r="C90" s="1">
        <f t="shared" si="5"/>
        <v>-3.5099040649052893E-2</v>
      </c>
      <c r="D90" s="1">
        <v>158.85524000000001</v>
      </c>
      <c r="E90" s="1">
        <f t="shared" si="6"/>
        <v>6.5155701449917114E-2</v>
      </c>
      <c r="F90" s="1">
        <v>21.487463000000002</v>
      </c>
      <c r="G90" s="1">
        <f t="shared" si="7"/>
        <v>-2.4719095921782341E-2</v>
      </c>
      <c r="H90" s="1">
        <v>119.70034800000001</v>
      </c>
      <c r="I90" s="1">
        <f t="shared" si="8"/>
        <v>6.2069929720049988E-3</v>
      </c>
      <c r="J90" s="1">
        <v>127.66918200000001</v>
      </c>
      <c r="K90" s="1">
        <f t="shared" si="9"/>
        <v>1.9847215092308135E-2</v>
      </c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5">
        <v>42989</v>
      </c>
      <c r="B91" s="1">
        <v>224.51445000000001</v>
      </c>
      <c r="C91" s="1">
        <f t="shared" si="5"/>
        <v>3.6876693175318831E-2</v>
      </c>
      <c r="D91" s="1">
        <v>157.60157799999999</v>
      </c>
      <c r="E91" s="1">
        <f t="shared" si="6"/>
        <v>-7.8918517261377108E-3</v>
      </c>
      <c r="F91" s="1">
        <v>22.230118000000001</v>
      </c>
      <c r="G91" s="1">
        <f t="shared" si="7"/>
        <v>3.4562246832024801E-2</v>
      </c>
      <c r="H91" s="1">
        <v>119.48313899999999</v>
      </c>
      <c r="I91" s="1">
        <f t="shared" si="8"/>
        <v>-1.8146062532751195E-3</v>
      </c>
      <c r="J91" s="1">
        <v>125.551247</v>
      </c>
      <c r="K91" s="1">
        <f t="shared" si="9"/>
        <v>-1.6589242343543864E-2</v>
      </c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5">
        <v>42996</v>
      </c>
      <c r="B92" s="1">
        <v>230.30624399999999</v>
      </c>
      <c r="C92" s="1">
        <f t="shared" si="5"/>
        <v>2.579697654204427E-2</v>
      </c>
      <c r="D92" s="1">
        <v>159.163681</v>
      </c>
      <c r="E92" s="1">
        <f t="shared" si="6"/>
        <v>9.9117218229884951E-3</v>
      </c>
      <c r="F92" s="1">
        <v>22.428158</v>
      </c>
      <c r="G92" s="1">
        <f t="shared" si="7"/>
        <v>8.9086346730142818E-3</v>
      </c>
      <c r="H92" s="1">
        <v>119.443657</v>
      </c>
      <c r="I92" s="1">
        <f t="shared" si="8"/>
        <v>-3.3043992926895527E-4</v>
      </c>
      <c r="J92" s="1">
        <v>124.898056</v>
      </c>
      <c r="K92" s="1">
        <f t="shared" si="9"/>
        <v>-5.2025847262194835E-3</v>
      </c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5">
        <v>43003</v>
      </c>
      <c r="B93" s="1">
        <v>236.44695999999999</v>
      </c>
      <c r="C93" s="1">
        <f t="shared" si="5"/>
        <v>2.6663263198369869E-2</v>
      </c>
      <c r="D93" s="1">
        <v>162.73558</v>
      </c>
      <c r="E93" s="1">
        <f t="shared" si="6"/>
        <v>2.2441671225233772E-2</v>
      </c>
      <c r="F93" s="1">
        <v>23.764935000000001</v>
      </c>
      <c r="G93" s="1">
        <f t="shared" si="7"/>
        <v>5.9602620955318875E-2</v>
      </c>
      <c r="H93" s="1">
        <v>119.69047500000001</v>
      </c>
      <c r="I93" s="1">
        <f t="shared" si="8"/>
        <v>2.0663968786556186E-3</v>
      </c>
      <c r="J93" s="1">
        <v>123.472916</v>
      </c>
      <c r="K93" s="1">
        <f t="shared" si="9"/>
        <v>-1.1410425795578383E-2</v>
      </c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5">
        <v>43010</v>
      </c>
      <c r="B94" s="1">
        <v>245.24929800000001</v>
      </c>
      <c r="C94" s="1">
        <f t="shared" si="5"/>
        <v>3.7227537203269767E-2</v>
      </c>
      <c r="D94" s="1">
        <v>165.014038</v>
      </c>
      <c r="E94" s="1">
        <f t="shared" si="6"/>
        <v>1.400098245263881E-2</v>
      </c>
      <c r="F94" s="1">
        <v>24.012487</v>
      </c>
      <c r="G94" s="1">
        <f t="shared" si="7"/>
        <v>1.0416691650955379E-2</v>
      </c>
      <c r="H94" s="1">
        <v>119.414024</v>
      </c>
      <c r="I94" s="1">
        <f t="shared" si="8"/>
        <v>-2.3097159569298586E-3</v>
      </c>
      <c r="J94" s="1">
        <v>122.31498000000001</v>
      </c>
      <c r="K94" s="1">
        <f t="shared" si="9"/>
        <v>-9.3780566419925382E-3</v>
      </c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5">
        <v>43017</v>
      </c>
      <c r="B95" s="1">
        <v>237.78276099999999</v>
      </c>
      <c r="C95" s="1">
        <f t="shared" si="5"/>
        <v>-3.0444682455319505E-2</v>
      </c>
      <c r="D95" s="1">
        <v>163.64099100000001</v>
      </c>
      <c r="E95" s="1">
        <f t="shared" si="6"/>
        <v>-8.3207890470505808E-3</v>
      </c>
      <c r="F95" s="1">
        <v>23.962978</v>
      </c>
      <c r="G95" s="1">
        <f t="shared" si="7"/>
        <v>-2.0618022614650178E-3</v>
      </c>
      <c r="H95" s="1">
        <v>120.356697</v>
      </c>
      <c r="I95" s="1">
        <f t="shared" si="8"/>
        <v>7.8941565523324986E-3</v>
      </c>
      <c r="J95" s="1">
        <v>124.803749</v>
      </c>
      <c r="K95" s="1">
        <f t="shared" si="9"/>
        <v>2.034721339937251E-2</v>
      </c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5">
        <v>43024</v>
      </c>
      <c r="B96" s="1">
        <v>243.96333300000001</v>
      </c>
      <c r="C96" s="1">
        <f t="shared" si="5"/>
        <v>2.5992515075556666E-2</v>
      </c>
      <c r="D96" s="1">
        <v>162.60623200000001</v>
      </c>
      <c r="E96" s="1">
        <f t="shared" si="6"/>
        <v>-6.3233484084681546E-3</v>
      </c>
      <c r="F96" s="1">
        <v>21.735016000000002</v>
      </c>
      <c r="G96" s="1">
        <f t="shared" si="7"/>
        <v>-9.2975171950664848E-2</v>
      </c>
      <c r="H96" s="1">
        <v>119.841927</v>
      </c>
      <c r="I96" s="1">
        <f t="shared" si="8"/>
        <v>-4.2770366155860939E-3</v>
      </c>
      <c r="J96" s="1">
        <v>122.949303</v>
      </c>
      <c r="K96" s="1">
        <f t="shared" si="9"/>
        <v>-1.485889658651196E-2</v>
      </c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5">
        <v>43031</v>
      </c>
      <c r="B97" s="1">
        <v>240.95280500000001</v>
      </c>
      <c r="C97" s="1">
        <f t="shared" si="5"/>
        <v>-1.2340083909248789E-2</v>
      </c>
      <c r="D97" s="1">
        <v>166.496521</v>
      </c>
      <c r="E97" s="1">
        <f t="shared" si="6"/>
        <v>2.3924599642650923E-2</v>
      </c>
      <c r="F97" s="1">
        <v>21.190401000000001</v>
      </c>
      <c r="G97" s="1">
        <f t="shared" si="7"/>
        <v>-2.5057032394179113E-2</v>
      </c>
      <c r="H97" s="1">
        <v>119.69343600000001</v>
      </c>
      <c r="I97" s="1">
        <f t="shared" si="8"/>
        <v>-1.2390571790454885E-3</v>
      </c>
      <c r="J97" s="1">
        <v>122.215446</v>
      </c>
      <c r="K97" s="1">
        <f t="shared" si="9"/>
        <v>-5.968777228448352E-3</v>
      </c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5">
        <v>43038</v>
      </c>
      <c r="B98" s="1">
        <v>243.63436899999999</v>
      </c>
      <c r="C98" s="1">
        <f t="shared" si="5"/>
        <v>1.112900096763747E-2</v>
      </c>
      <c r="D98" s="1">
        <v>163.56140099999999</v>
      </c>
      <c r="E98" s="1">
        <f t="shared" si="6"/>
        <v>-1.7628716698530944E-2</v>
      </c>
      <c r="F98" s="1">
        <v>20.645788</v>
      </c>
      <c r="G98" s="1">
        <f t="shared" si="7"/>
        <v>-2.5700929397230454E-2</v>
      </c>
      <c r="H98" s="1">
        <v>119.911224</v>
      </c>
      <c r="I98" s="1">
        <f t="shared" si="8"/>
        <v>1.8195484002982987E-3</v>
      </c>
      <c r="J98" s="1">
        <v>124.595505</v>
      </c>
      <c r="K98" s="1">
        <f t="shared" si="9"/>
        <v>1.9474289690028179E-2</v>
      </c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5">
        <v>43045</v>
      </c>
      <c r="B99" s="1">
        <v>239.39767499999999</v>
      </c>
      <c r="C99" s="1">
        <f t="shared" si="5"/>
        <v>-1.7389558038915287E-2</v>
      </c>
      <c r="D99" s="1">
        <v>163.28280599999999</v>
      </c>
      <c r="E99" s="1">
        <f t="shared" si="6"/>
        <v>-1.7033052926710424E-3</v>
      </c>
      <c r="F99" s="1">
        <v>20.534924</v>
      </c>
      <c r="G99" s="1">
        <f t="shared" si="7"/>
        <v>-5.3698119926446353E-3</v>
      </c>
      <c r="H99" s="1">
        <v>118.999031</v>
      </c>
      <c r="I99" s="1">
        <f t="shared" si="8"/>
        <v>-7.6072361666494892E-3</v>
      </c>
      <c r="J99" s="1">
        <v>123.32891100000001</v>
      </c>
      <c r="K99" s="1">
        <f t="shared" si="9"/>
        <v>-1.0165647629101882E-2</v>
      </c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5">
        <v>43052</v>
      </c>
      <c r="B100" s="1">
        <v>237.27435299999999</v>
      </c>
      <c r="C100" s="1">
        <f t="shared" si="5"/>
        <v>-8.8694345089190829E-3</v>
      </c>
      <c r="D100" s="1">
        <v>166.89451600000001</v>
      </c>
      <c r="E100" s="1">
        <f t="shared" si="6"/>
        <v>2.2119352848456231E-2</v>
      </c>
      <c r="F100" s="1">
        <v>21.131578000000001</v>
      </c>
      <c r="G100" s="1">
        <f t="shared" si="7"/>
        <v>2.9055573811717084E-2</v>
      </c>
      <c r="H100" s="1">
        <v>119.564796</v>
      </c>
      <c r="I100" s="1">
        <f t="shared" si="8"/>
        <v>4.7543664452192047E-3</v>
      </c>
      <c r="J100" s="1">
        <v>125.60468299999999</v>
      </c>
      <c r="K100" s="1">
        <f t="shared" si="9"/>
        <v>1.8452867065371192E-2</v>
      </c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5">
        <v>43059</v>
      </c>
      <c r="B101" s="1">
        <v>235.21083100000001</v>
      </c>
      <c r="C101" s="1">
        <f t="shared" si="5"/>
        <v>-8.6967764274126225E-3</v>
      </c>
      <c r="D101" s="1">
        <v>171.46137999999999</v>
      </c>
      <c r="E101" s="1">
        <f t="shared" si="6"/>
        <v>2.7363775092525966E-2</v>
      </c>
      <c r="F101" s="1">
        <v>22.175727999999999</v>
      </c>
      <c r="G101" s="1">
        <f t="shared" si="7"/>
        <v>4.9411832850343673E-2</v>
      </c>
      <c r="H101" s="1">
        <v>120.28937500000001</v>
      </c>
      <c r="I101" s="1">
        <f t="shared" si="8"/>
        <v>6.0601366308525861E-3</v>
      </c>
      <c r="J101" s="1">
        <v>126.01213799999999</v>
      </c>
      <c r="K101" s="1">
        <f t="shared" si="9"/>
        <v>3.2439475206509361E-3</v>
      </c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5">
        <v>43066</v>
      </c>
      <c r="B102" s="1">
        <v>248.17010500000001</v>
      </c>
      <c r="C102" s="1">
        <f t="shared" si="5"/>
        <v>5.5096416882264965E-2</v>
      </c>
      <c r="D102" s="1">
        <v>179.51059000000001</v>
      </c>
      <c r="E102" s="1">
        <f t="shared" si="6"/>
        <v>4.6944740559069498E-2</v>
      </c>
      <c r="F102" s="1">
        <v>22.672941000000002</v>
      </c>
      <c r="G102" s="1">
        <f t="shared" si="7"/>
        <v>2.2421496151107334E-2</v>
      </c>
      <c r="H102" s="1">
        <v>119.822868</v>
      </c>
      <c r="I102" s="1">
        <f t="shared" si="8"/>
        <v>-3.8782062006723628E-3</v>
      </c>
      <c r="J102" s="1">
        <v>125.763687</v>
      </c>
      <c r="K102" s="1">
        <f t="shared" si="9"/>
        <v>-1.9716433983525405E-3</v>
      </c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5">
        <v>43073</v>
      </c>
      <c r="B103" s="1">
        <v>250.35000600000001</v>
      </c>
      <c r="C103" s="1">
        <f t="shared" si="5"/>
        <v>8.7838984473975756E-3</v>
      </c>
      <c r="D103" s="1">
        <v>183.41000399999999</v>
      </c>
      <c r="E103" s="1">
        <f t="shared" si="6"/>
        <v>2.1722473309234713E-2</v>
      </c>
      <c r="F103" s="1">
        <v>22.026564</v>
      </c>
      <c r="G103" s="1">
        <f t="shared" si="7"/>
        <v>-2.8508740881917349E-2</v>
      </c>
      <c r="H103" s="1">
        <v>120.40222199999999</v>
      </c>
      <c r="I103" s="1">
        <f t="shared" si="8"/>
        <v>4.8350870720270667E-3</v>
      </c>
      <c r="J103" s="1">
        <v>126.159943</v>
      </c>
      <c r="K103" s="1">
        <f t="shared" si="9"/>
        <v>3.1507982109333366E-3</v>
      </c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5">
        <v>43080</v>
      </c>
      <c r="B104" s="1">
        <v>257.17001299999998</v>
      </c>
      <c r="C104" s="1">
        <f t="shared" si="5"/>
        <v>2.7241888702011829E-2</v>
      </c>
      <c r="D104" s="1">
        <v>182.58000200000001</v>
      </c>
      <c r="E104" s="1">
        <f t="shared" si="6"/>
        <v>-4.5253911013489745E-3</v>
      </c>
      <c r="F104" s="1">
        <v>21.777956</v>
      </c>
      <c r="G104" s="1">
        <f t="shared" si="7"/>
        <v>-1.128673541638181E-2</v>
      </c>
      <c r="H104" s="1">
        <v>121.20835099999999</v>
      </c>
      <c r="I104" s="1">
        <f t="shared" si="8"/>
        <v>6.6953000252769623E-3</v>
      </c>
      <c r="J104" s="1">
        <v>127.812996</v>
      </c>
      <c r="K104" s="1">
        <f t="shared" si="9"/>
        <v>1.3102835659968504E-2</v>
      </c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5">
        <v>43087</v>
      </c>
      <c r="B105" s="1">
        <v>258.97000100000002</v>
      </c>
      <c r="C105" s="1">
        <f t="shared" si="5"/>
        <v>6.9992141735437663E-3</v>
      </c>
      <c r="D105" s="1">
        <v>188.13000500000001</v>
      </c>
      <c r="E105" s="1">
        <f t="shared" si="6"/>
        <v>3.0397650012075283E-2</v>
      </c>
      <c r="F105" s="1">
        <v>22.424334000000002</v>
      </c>
      <c r="G105" s="1">
        <f t="shared" si="7"/>
        <v>2.9680379554444913E-2</v>
      </c>
      <c r="H105" s="1">
        <v>120.07379899999999</v>
      </c>
      <c r="I105" s="1">
        <f t="shared" si="8"/>
        <v>-9.3603451465155141E-3</v>
      </c>
      <c r="J105" s="1">
        <v>124.24797100000001</v>
      </c>
      <c r="K105" s="1">
        <f t="shared" si="9"/>
        <v>-2.7892507894893503E-2</v>
      </c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5">
        <v>43094</v>
      </c>
      <c r="B106" s="1">
        <v>254.759995</v>
      </c>
      <c r="C106" s="1">
        <f t="shared" si="5"/>
        <v>-1.6256732377276428E-2</v>
      </c>
      <c r="D106" s="1">
        <v>189.529999</v>
      </c>
      <c r="E106" s="1">
        <f t="shared" si="6"/>
        <v>7.4416305894426937E-3</v>
      </c>
      <c r="F106" s="1">
        <v>19.242167999999999</v>
      </c>
      <c r="G106" s="1">
        <f t="shared" si="7"/>
        <v>-0.14190682318591941</v>
      </c>
      <c r="H106" s="1">
        <v>121.235016</v>
      </c>
      <c r="I106" s="1">
        <f t="shared" si="8"/>
        <v>9.6708608345106306E-3</v>
      </c>
      <c r="J106" s="1">
        <v>126.596413</v>
      </c>
      <c r="K106" s="1">
        <f t="shared" si="9"/>
        <v>1.8901250306936568E-2</v>
      </c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zoomScale="125" workbookViewId="0">
      <selection activeCell="M10" sqref="M1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zoomScale="141" workbookViewId="0">
      <selection activeCell="L13" sqref="L1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AE1000"/>
  <sheetViews>
    <sheetView topLeftCell="H24" zoomScale="82" workbookViewId="0">
      <selection activeCell="S61" sqref="S61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VAR(C302:C362)</f>
        <v>7.7130038165614022E-4</v>
      </c>
      <c r="O4" s="36">
        <f>COVAR(E302:E362, C302:C362)</f>
        <v>8.5362439960170024E-4</v>
      </c>
      <c r="P4" s="36">
        <f>COVAR(G302:G362, C302:C362)</f>
        <v>-2.3682262988891733E-5</v>
      </c>
      <c r="Q4" s="36">
        <f>COVAR(I302:I362, C302:C362)</f>
        <v>-6.8677084275635224E-5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COVAR(C302:C362, E302:E362)</f>
        <v>8.5362439960170024E-4</v>
      </c>
      <c r="O5" s="36">
        <f>VAR(E302:E362)</f>
        <v>1.5894858905602239E-3</v>
      </c>
      <c r="P5" s="36">
        <f>COVAR(G302:G362, E302:E362)</f>
        <v>-7.1485883436050264E-5</v>
      </c>
      <c r="Q5" s="36">
        <f>COVAR(I302:I362, E302:E362)</f>
        <v>-1.2772699668924951E-4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COVAR(C302:C362, G302:G362)</f>
        <v>-2.3682262988891733E-5</v>
      </c>
      <c r="O6" s="39">
        <f>COVAR(E302:E362, G302:G362)</f>
        <v>-7.1485883436050264E-5</v>
      </c>
      <c r="P6" s="36">
        <f>VAR(G302:G362)</f>
        <v>6.9334512771058332E-5</v>
      </c>
      <c r="Q6" s="36">
        <f>COVAR(I302:I362, G302:G362)</f>
        <v>7.1863322716323228E-5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COVAR(C302:C362, I302:I362)</f>
        <v>-6.8677084275635224E-5</v>
      </c>
      <c r="O7" s="36">
        <f>COVAR(E302:E362, I302:I362)</f>
        <v>-1.2772699668924951E-4</v>
      </c>
      <c r="P7" s="36">
        <f>COVAR(G302:G362, I302:I362)</f>
        <v>7.1863322716323228E-5</v>
      </c>
      <c r="Q7" s="36">
        <f>VAR(I302:I362)</f>
        <v>8.3580382190697692E-5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AVERAGE(C302:C362)</f>
        <v>1.3389532624412979E-2</v>
      </c>
      <c r="O14" s="24">
        <f>STDEV(C302:C362)</f>
        <v>2.7772295217647031E-2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AVERAGE(E302:E362)</f>
        <v>1.209240007288458E-2</v>
      </c>
      <c r="O15" s="24">
        <f>STDEV(E302:E362)</f>
        <v>3.9868357008537789E-2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AVERAGE(G302:G362)</f>
        <v>1.5489512126921332E-3</v>
      </c>
      <c r="O16" s="24">
        <f>STDEV(G302:G362)</f>
        <v>8.3267348205078758E-3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AVERAGE(I302:I362)</f>
        <v>8.5017599709528654E-4</v>
      </c>
      <c r="O17" s="24">
        <f>STDEV(I302:I362)</f>
        <v>9.1422307010213706E-3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41</v>
      </c>
      <c r="O20" s="26">
        <f>MAX(N14:N17)</f>
        <v>1.3389532624412979E-2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8.5017599709528654E-4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3.9868357008537789E-2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8.3267348205078758E-3</v>
      </c>
      <c r="Q23" s="12">
        <v>0.5</v>
      </c>
      <c r="R23" s="7">
        <v>0.39999999999999991</v>
      </c>
      <c r="S23" s="3">
        <v>0.05</v>
      </c>
      <c r="T23" s="3">
        <f>1-SUM(Q23:S23)</f>
        <v>5.0000000000000044E-2</v>
      </c>
      <c r="U23" s="3"/>
      <c r="V23" s="6">
        <v>1.1651682701849691E-2</v>
      </c>
      <c r="W23" s="6">
        <f t="array" ref="W23">SQRT(MMULT(MMULT(weights1, vcv), TRANSPOSE(weights1)))</f>
        <v>2.7870194097406258E-2</v>
      </c>
      <c r="X23" s="6">
        <f>MMULT(weights1, rets)</f>
        <v>1.1651682701849691E-2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2.3187651184893745E-3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1.1651682701849691E-2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7.1351987899383167E-3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2.0773709653733732E-2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</v>
      </c>
      <c r="P38" s="35">
        <v>0.5</v>
      </c>
      <c r="Q38" s="35"/>
      <c r="R38" s="20">
        <v>2.3187651184893745E-3</v>
      </c>
      <c r="S38" s="21">
        <v>7.5681638757944814E-3</v>
      </c>
      <c r="T38" s="18">
        <v>2.3187651184893745E-3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6.6823566264214512E-2</v>
      </c>
      <c r="N39" s="35">
        <v>5.5183078353899857E-2</v>
      </c>
      <c r="O39" s="35">
        <v>0.47670380180874067</v>
      </c>
      <c r="P39" s="35">
        <v>0.401289553573145</v>
      </c>
      <c r="Q39" s="35"/>
      <c r="R39" s="20">
        <v>2.6405898627431786E-3</v>
      </c>
      <c r="S39" s="21">
        <v>7.5285886062009498E-3</v>
      </c>
      <c r="T39" s="18">
        <v>2.641589859522587E-3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9.7226169535338039E-2</v>
      </c>
      <c r="N40" s="35">
        <v>0.05</v>
      </c>
      <c r="O40" s="35">
        <v>0.47364843113434607</v>
      </c>
      <c r="P40" s="35">
        <v>0.37912539933031586</v>
      </c>
      <c r="Q40" s="35"/>
      <c r="R40" s="20">
        <v>2.9624146069969826E-3</v>
      </c>
      <c r="S40" s="21">
        <v>7.5808434441602731E-3</v>
      </c>
      <c r="T40" s="18">
        <v>2.9624145987794167E-3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0.12331307667620996</v>
      </c>
      <c r="N41" s="35">
        <v>0.05</v>
      </c>
      <c r="O41" s="35">
        <v>0.46751157994154341</v>
      </c>
      <c r="P41" s="35">
        <v>0.35917534338224666</v>
      </c>
      <c r="Q41" s="35"/>
      <c r="R41" s="20">
        <v>3.2842393512507867E-3</v>
      </c>
      <c r="S41" s="21">
        <v>7.7172373787074665E-3</v>
      </c>
      <c r="T41" s="18">
        <v>3.2852393512071937E-3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0.14923836713159991</v>
      </c>
      <c r="N42" s="35">
        <v>0.05</v>
      </c>
      <c r="O42" s="35">
        <v>0.46141273969610586</v>
      </c>
      <c r="P42" s="35">
        <v>0.33934889317229422</v>
      </c>
      <c r="Q42" s="35"/>
      <c r="R42" s="20">
        <v>3.6060640955045903E-3</v>
      </c>
      <c r="S42" s="21">
        <v>7.9329728314865688E-3</v>
      </c>
      <c r="T42" s="18">
        <v>3.6060640954867279E-3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0.17524446491826376</v>
      </c>
      <c r="N43" s="35">
        <v>0.05</v>
      </c>
      <c r="O43" s="35">
        <v>0.45529490626012897</v>
      </c>
      <c r="P43" s="35">
        <v>0.31946062882160731</v>
      </c>
      <c r="Q43" s="35"/>
      <c r="R43" s="20">
        <v>3.9278888397583948E-3</v>
      </c>
      <c r="S43" s="21">
        <v>8.2233559971638635E-3</v>
      </c>
      <c r="T43" s="18">
        <v>3.9278888397403927E-3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0.20125056484090345</v>
      </c>
      <c r="N44" s="35">
        <v>0.05</v>
      </c>
      <c r="O44" s="35">
        <v>0.44917703449477664</v>
      </c>
      <c r="P44" s="35">
        <v>0.29957240066431989</v>
      </c>
      <c r="Q44" s="35"/>
      <c r="R44" s="20">
        <v>4.2497135840121984E-3</v>
      </c>
      <c r="S44" s="21">
        <v>8.5803168266927569E-3</v>
      </c>
      <c r="T44" s="18">
        <v>4.2497135839942033E-3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0.22725666248409052</v>
      </c>
      <c r="N45" s="35">
        <v>0.05</v>
      </c>
      <c r="O45" s="35">
        <v>0.44305920363365059</v>
      </c>
      <c r="P45" s="35">
        <v>0.27968413388225888</v>
      </c>
      <c r="Q45" s="35"/>
      <c r="R45" s="20">
        <v>4.5715383282660029E-3</v>
      </c>
      <c r="S45" s="21">
        <v>8.9959333543612931E-3</v>
      </c>
      <c r="T45" s="18">
        <v>4.5715383282480026E-3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0.25326276069977122</v>
      </c>
      <c r="N46" s="35">
        <v>0.05</v>
      </c>
      <c r="O46" s="35">
        <v>0.4369413624992759</v>
      </c>
      <c r="P46" s="35">
        <v>0.25979587680095295</v>
      </c>
      <c r="Q46" s="35"/>
      <c r="R46" s="20">
        <v>4.8933630725198065E-3</v>
      </c>
      <c r="S46" s="21">
        <v>9.4624798052699022E-3</v>
      </c>
      <c r="T46" s="18">
        <v>4.893363072501814E-3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0.27934966861826727</v>
      </c>
      <c r="N47" s="35">
        <v>0.05</v>
      </c>
      <c r="O47" s="35">
        <v>0.43080448561797846</v>
      </c>
      <c r="P47" s="35">
        <v>0.23984584576375423</v>
      </c>
      <c r="Q47" s="35"/>
      <c r="R47" s="20">
        <v>5.2151878167736102E-3</v>
      </c>
      <c r="S47" s="21">
        <v>9.9744580880479043E-3</v>
      </c>
      <c r="T47" s="18">
        <v>5.2161878167300132E-3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0.30527495702864993</v>
      </c>
      <c r="N48" s="35">
        <v>0.05</v>
      </c>
      <c r="O48" s="35">
        <v>0.42470568206971565</v>
      </c>
      <c r="P48" s="35">
        <v>0.22001936090163443</v>
      </c>
      <c r="Q48" s="35"/>
      <c r="R48" s="20">
        <v>5.5370125610274146E-3</v>
      </c>
      <c r="S48" s="21">
        <v>1.0520557000522755E-2</v>
      </c>
      <c r="T48" s="18">
        <v>5.5370125610095479E-3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0.33128105600623881</v>
      </c>
      <c r="N49" s="35">
        <v>0.05</v>
      </c>
      <c r="O49" s="35">
        <v>0.41858782726288318</v>
      </c>
      <c r="P49" s="35">
        <v>0.20013111673087802</v>
      </c>
      <c r="Q49" s="35"/>
      <c r="R49" s="20">
        <v>5.8588373052812191E-3</v>
      </c>
      <c r="S49" s="21">
        <v>1.1100180538546028E-2</v>
      </c>
      <c r="T49" s="18">
        <v>5.8588373052632222E-3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0.35728715464439476</v>
      </c>
      <c r="N50" s="35">
        <v>0.05</v>
      </c>
      <c r="O50" s="35">
        <v>0.41246997854727463</v>
      </c>
      <c r="P50" s="35">
        <v>0.18024286680833068</v>
      </c>
      <c r="Q50" s="35"/>
      <c r="R50" s="20">
        <v>6.1806620495350219E-3</v>
      </c>
      <c r="S50" s="21">
        <v>1.1706947657469711E-2</v>
      </c>
      <c r="T50" s="18">
        <v>6.1806620495170224E-3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0.38329325440703049</v>
      </c>
      <c r="N51" s="35">
        <v>0.05</v>
      </c>
      <c r="O51" s="35">
        <v>0.40635210965315566</v>
      </c>
      <c r="P51" s="35">
        <v>0.16035463593981381</v>
      </c>
      <c r="Q51" s="35"/>
      <c r="R51" s="20">
        <v>6.5024867937888264E-3</v>
      </c>
      <c r="S51" s="21">
        <v>1.23368539750012E-2</v>
      </c>
      <c r="T51" s="18">
        <v>6.5024867937708321E-3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0.40929935293254499</v>
      </c>
      <c r="N52" s="35">
        <v>0.05</v>
      </c>
      <c r="O52" s="35">
        <v>0.40023426295887071</v>
      </c>
      <c r="P52" s="35">
        <v>0.14046638410858425</v>
      </c>
      <c r="Q52" s="35"/>
      <c r="R52" s="20">
        <v>6.8243115380426309E-3</v>
      </c>
      <c r="S52" s="21">
        <v>1.2986532856217514E-2</v>
      </c>
      <c r="T52" s="18">
        <v>6.8243115380246322E-3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0.43538625972258238</v>
      </c>
      <c r="N53" s="35">
        <v>0.05</v>
      </c>
      <c r="O53" s="35">
        <v>0.39409740632751333</v>
      </c>
      <c r="P53" s="35">
        <v>0.12051633394990424</v>
      </c>
      <c r="Q53" s="35"/>
      <c r="R53" s="20">
        <v>7.1461362822964353E-3</v>
      </c>
      <c r="S53" s="21">
        <v>1.3655257243920091E-2</v>
      </c>
      <c r="T53" s="18">
        <v>7.1471362822528436E-3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0.46131154999710489</v>
      </c>
      <c r="N54" s="35">
        <v>0.05</v>
      </c>
      <c r="O54" s="35">
        <v>0.38799856932770072</v>
      </c>
      <c r="P54" s="35">
        <v>0.10068988067519435</v>
      </c>
      <c r="Q54" s="35"/>
      <c r="R54" s="20">
        <v>7.4679610265502381E-3</v>
      </c>
      <c r="S54" s="21">
        <v>1.4334376725686262E-2</v>
      </c>
      <c r="T54" s="18">
        <v>7.4679610265323782E-3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0.487317648319958</v>
      </c>
      <c r="N55" s="35">
        <v>0.05</v>
      </c>
      <c r="O55" s="35">
        <v>0.38188072626993469</v>
      </c>
      <c r="P55" s="35">
        <v>8.0801625410107381E-2</v>
      </c>
      <c r="Q55" s="35"/>
      <c r="R55" s="20">
        <v>7.7897857708040426E-3</v>
      </c>
      <c r="S55" s="21">
        <v>1.5028193736342493E-2</v>
      </c>
      <c r="T55" s="18">
        <v>7.7897857707860422E-3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0.5</v>
      </c>
      <c r="N56" s="35">
        <v>6.4334485449645873E-2</v>
      </c>
      <c r="O56" s="35">
        <v>0.38566551455035403</v>
      </c>
      <c r="P56" s="35">
        <v>5.0000000000000044E-2</v>
      </c>
      <c r="Q56" s="35"/>
      <c r="R56" s="20">
        <v>8.1116105150578471E-3</v>
      </c>
      <c r="S56" s="21">
        <v>1.5832817764792749E-2</v>
      </c>
      <c r="T56" s="18">
        <v>8.1126105150578498E-3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0.5</v>
      </c>
      <c r="N57" s="35">
        <v>9.476330892956196E-2</v>
      </c>
      <c r="O57" s="35">
        <v>0.35523669107043798</v>
      </c>
      <c r="P57" s="35">
        <v>5.0000000000000044E-2</v>
      </c>
      <c r="Q57" s="35"/>
      <c r="R57" s="20">
        <v>8.4334352593116498E-3</v>
      </c>
      <c r="S57" s="21">
        <v>1.6781908736760519E-2</v>
      </c>
      <c r="T57" s="18">
        <v>8.433435259294169E-3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0.5</v>
      </c>
      <c r="N58" s="35">
        <v>0.12538182366340106</v>
      </c>
      <c r="O58" s="35">
        <v>0.32461817633659884</v>
      </c>
      <c r="P58" s="35">
        <v>5.0000000000000155E-2</v>
      </c>
      <c r="Q58" s="35"/>
      <c r="R58" s="20">
        <v>8.7552600035654543E-3</v>
      </c>
      <c r="S58" s="21">
        <v>1.7780541116620679E-2</v>
      </c>
      <c r="T58" s="18">
        <v>8.7562600035654484E-3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0.5</v>
      </c>
      <c r="N59" s="35">
        <v>0.15590549277027968</v>
      </c>
      <c r="O59" s="35">
        <v>0.29409450722972019</v>
      </c>
      <c r="P59" s="35">
        <v>5.0000000000000155E-2</v>
      </c>
      <c r="Q59" s="35"/>
      <c r="R59" s="20">
        <v>9.0770847478192588E-3</v>
      </c>
      <c r="S59" s="21">
        <v>1.8812723442046254E-2</v>
      </c>
      <c r="T59" s="18">
        <v>9.0780847478192598E-3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0.5</v>
      </c>
      <c r="N60" s="35">
        <v>0.18642916187715716</v>
      </c>
      <c r="O60" s="35">
        <v>0.26357083812284271</v>
      </c>
      <c r="P60" s="35">
        <v>5.0000000000000044E-2</v>
      </c>
      <c r="Q60" s="35"/>
      <c r="R60" s="20">
        <v>9.3989094920730633E-3</v>
      </c>
      <c r="S60" s="21">
        <v>1.9875787367459867E-2</v>
      </c>
      <c r="T60" s="18">
        <v>9.3999094920730591E-3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0.5</v>
      </c>
      <c r="N61" s="35">
        <v>0.21695283098403564</v>
      </c>
      <c r="O61" s="35">
        <v>0.23304716901596423</v>
      </c>
      <c r="P61" s="35">
        <v>5.0000000000000155E-2</v>
      </c>
      <c r="Q61" s="35"/>
      <c r="R61" s="52">
        <v>9.720734236326866E-3</v>
      </c>
      <c r="S61" s="22">
        <v>2.0965035723998257E-2</v>
      </c>
      <c r="T61" s="21">
        <v>9.7217342363268688E-3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0.5</v>
      </c>
      <c r="N62" s="35">
        <v>0.24738165446395471</v>
      </c>
      <c r="O62" s="35">
        <v>0.20261834553604521</v>
      </c>
      <c r="P62" s="35">
        <v>5.0000000000000155E-2</v>
      </c>
      <c r="Q62" s="35"/>
      <c r="R62" s="20">
        <v>1.0042558980580671E-2</v>
      </c>
      <c r="S62" s="21">
        <v>2.2073108053810249E-2</v>
      </c>
      <c r="T62" s="18">
        <v>1.0042558980563219E-2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0.5</v>
      </c>
      <c r="N63" s="35">
        <v>0.27800016919779369</v>
      </c>
      <c r="O63" s="35">
        <v>0.17199983080220627</v>
      </c>
      <c r="P63" s="35">
        <v>5.0000000000000044E-2</v>
      </c>
      <c r="Q63" s="35"/>
      <c r="R63" s="20">
        <v>1.0364383724834475E-2</v>
      </c>
      <c r="S63" s="21">
        <v>2.3207254028860657E-2</v>
      </c>
      <c r="T63" s="18">
        <v>1.0365383724834499E-2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0.5</v>
      </c>
      <c r="N64" s="35">
        <v>0.30852383830467145</v>
      </c>
      <c r="O64" s="35">
        <v>0.14147616169532851</v>
      </c>
      <c r="P64" s="35">
        <v>5.0000000000000044E-2</v>
      </c>
      <c r="Q64" s="35"/>
      <c r="R64" s="20">
        <v>1.0686208469088279E-2</v>
      </c>
      <c r="S64" s="21">
        <v>2.4354358065438026E-2</v>
      </c>
      <c r="T64" s="18">
        <v>1.06872084690883E-2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0.5</v>
      </c>
      <c r="N65" s="35">
        <v>0.33904750741154893</v>
      </c>
      <c r="O65" s="35">
        <v>0.11095249258845102</v>
      </c>
      <c r="P65" s="35">
        <v>5.0000000000000044E-2</v>
      </c>
      <c r="Q65" s="35"/>
      <c r="R65" s="20">
        <v>1.1008033213342082E-2</v>
      </c>
      <c r="S65" s="21">
        <v>2.5515687591392607E-2</v>
      </c>
      <c r="T65" s="18">
        <v>1.1009033213342099E-2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0.5</v>
      </c>
      <c r="N66" s="35">
        <v>0.3694763308914652</v>
      </c>
      <c r="O66" s="35">
        <v>8.0523669108534812E-2</v>
      </c>
      <c r="P66" s="35">
        <v>4.9999999999999933E-2</v>
      </c>
      <c r="Q66" s="35"/>
      <c r="R66" s="20">
        <v>1.1329857957595887E-2</v>
      </c>
      <c r="S66" s="21">
        <v>2.6685721210506344E-2</v>
      </c>
      <c r="T66" s="18">
        <v>1.132985795757842E-2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0.5</v>
      </c>
      <c r="N67" s="35">
        <v>0.39999999999999991</v>
      </c>
      <c r="O67" s="35">
        <v>0.05</v>
      </c>
      <c r="P67" s="35">
        <v>5.0000000000000044E-2</v>
      </c>
      <c r="Q67" s="35"/>
      <c r="R67" s="20">
        <v>1.1651682701849691E-2</v>
      </c>
      <c r="S67" s="21">
        <v>2.7870194097406258E-2</v>
      </c>
      <c r="T67" s="18">
        <v>1.1651682701849691E-2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AE1000"/>
  <sheetViews>
    <sheetView topLeftCell="K14" zoomScale="67" workbookViewId="0">
      <selection activeCell="T35" sqref="T35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VAR(C242:C362)</f>
        <v>1.8987990937929169E-3</v>
      </c>
      <c r="O4" s="36">
        <f>COVAR(E242:E362, C242:C362)</f>
        <v>2.2487241315734268E-3</v>
      </c>
      <c r="P4" s="36">
        <f>COVAR(G242:G362, C242:C362)</f>
        <v>8.8540475919319927E-6</v>
      </c>
      <c r="Q4" s="36">
        <f>COVAR(I242:I362, C242:C362)</f>
        <v>-1.6254864941680344E-4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COVAR(C242:C362, E242:E362)</f>
        <v>2.2487241315734268E-3</v>
      </c>
      <c r="O5" s="36">
        <f>VAR(E242:E362)</f>
        <v>3.2757039649724583E-3</v>
      </c>
      <c r="P5" s="36">
        <f>COVAR(G242:G362, E242:E362)</f>
        <v>-3.2416867599412041E-5</v>
      </c>
      <c r="Q5" s="36">
        <f>COVAR(I242:I362, E242:E362)</f>
        <v>-2.4780226507436668E-4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COVAR(C242:C362, G242:G362)</f>
        <v>8.8540475919319927E-6</v>
      </c>
      <c r="O6" s="39">
        <f>COVAR(E242:E362, G242:G362)</f>
        <v>-3.2416867599412041E-5</v>
      </c>
      <c r="P6" s="36">
        <f>VAR(G242:G362)</f>
        <v>8.8567371387064894E-5</v>
      </c>
      <c r="Q6" s="36">
        <f>COVAR(I242:I362, G242:G362)</f>
        <v>9.5026787631337113E-5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COVAR(C242:C362, I242:I362)</f>
        <v>-1.6254864941680344E-4</v>
      </c>
      <c r="O7" s="36">
        <f>COVAR(E242:E362, I242:I362)</f>
        <v>-2.4780226507436668E-4</v>
      </c>
      <c r="P7" s="36">
        <f>COVAR(G242:G362, I242:I362)</f>
        <v>9.5026787631337113E-5</v>
      </c>
      <c r="Q7" s="36">
        <f>VAR(I242:I362)</f>
        <v>1.441281364869515E-4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AVERAGE(C242:C362)</f>
        <v>8.1851215055101546E-3</v>
      </c>
      <c r="O14" s="24">
        <f>STDEV(C242:C362)</f>
        <v>4.3575211919082125E-2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AVERAGE(E242:E362)</f>
        <v>8.7954707578885259E-3</v>
      </c>
      <c r="O15" s="24">
        <f>STDEV(E242:E362)</f>
        <v>5.7233765951337313E-2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AVERAGE(G242:G362)</f>
        <v>3.1988696074357311E-3</v>
      </c>
      <c r="O16" s="24">
        <f>STDEV(G242:G362)</f>
        <v>9.4110239287266122E-3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AVERAGE(I242:I362)</f>
        <v>2.6538768403139494E-3</v>
      </c>
      <c r="O17" s="24">
        <f>STDEV(I242:I362)</f>
        <v>1.2005337833103719E-2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42</v>
      </c>
      <c r="O20" s="26">
        <f>MAX(N14:N17)</f>
        <v>8.7954707578885259E-3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2.6538768403139494E-3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5.7233765951337313E-2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9.4110239287266122E-3</v>
      </c>
      <c r="Q23" s="12">
        <v>0.4</v>
      </c>
      <c r="R23" s="7">
        <v>0.49999999999999989</v>
      </c>
      <c r="S23" s="3">
        <v>0.05</v>
      </c>
      <c r="T23" s="3">
        <f>1-SUM(Q23:S23)</f>
        <v>5.0000000000000044E-2</v>
      </c>
      <c r="U23" s="3"/>
      <c r="V23" s="6">
        <v>7.9644213035358086E-3</v>
      </c>
      <c r="W23" s="6">
        <f t="array" ref="W23">SQRT(MMULT(MMULT(weights1, vcv), TRANSPOSE(weights1)))</f>
        <v>4.4756246836397146E-2</v>
      </c>
      <c r="X23" s="6">
        <f>MMULT(weights1, rets)</f>
        <v>7.9644213035358086E-3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3.4555158763012015E-3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7.9644213035358086E-3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4.4609394060581174E-3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3.0723974874047291E-2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0.40000000000000008</v>
      </c>
      <c r="P38" s="35">
        <v>0.49999999999999989</v>
      </c>
      <c r="Q38" s="35"/>
      <c r="R38" s="20">
        <v>3.4555158763012019E-3</v>
      </c>
      <c r="S38" s="21">
        <v>9.5358978799128281E-3</v>
      </c>
      <c r="T38" s="18">
        <v>3.4555158763012015E-3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6.8256330123335388E-2</v>
      </c>
      <c r="N39" s="35">
        <v>0.05</v>
      </c>
      <c r="O39" s="35">
        <v>0.49999999999999994</v>
      </c>
      <c r="P39" s="35">
        <v>0.38174366987666464</v>
      </c>
      <c r="Q39" s="35"/>
      <c r="R39" s="20">
        <v>3.6109953737920504E-3</v>
      </c>
      <c r="S39" s="21">
        <v>9.6363261281347187E-3</v>
      </c>
      <c r="T39" s="18">
        <v>3.6109953816141384E-3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9.6365643494947639E-2</v>
      </c>
      <c r="N40" s="35">
        <v>0.05</v>
      </c>
      <c r="O40" s="35">
        <v>0.5</v>
      </c>
      <c r="P40" s="35">
        <v>0.35363435650505237</v>
      </c>
      <c r="Q40" s="35"/>
      <c r="R40" s="20">
        <v>3.7664748712828988E-3</v>
      </c>
      <c r="S40" s="21">
        <v>1.0032621013342877E-2</v>
      </c>
      <c r="T40" s="18">
        <v>3.7664748712431979E-3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0.12447495828790209</v>
      </c>
      <c r="N41" s="35">
        <v>0.05</v>
      </c>
      <c r="O41" s="35">
        <v>0.5</v>
      </c>
      <c r="P41" s="35">
        <v>0.32552504171209784</v>
      </c>
      <c r="Q41" s="35"/>
      <c r="R41" s="20">
        <v>3.9219543687737477E-3</v>
      </c>
      <c r="S41" s="21">
        <v>1.0591992222196336E-2</v>
      </c>
      <c r="T41" s="18">
        <v>3.9219543687340477E-3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0.15258427308085654</v>
      </c>
      <c r="N42" s="35">
        <v>0.05</v>
      </c>
      <c r="O42" s="35">
        <v>0.5</v>
      </c>
      <c r="P42" s="35">
        <v>0.29741572691914353</v>
      </c>
      <c r="Q42" s="35"/>
      <c r="R42" s="20">
        <v>4.0774338662645957E-3</v>
      </c>
      <c r="S42" s="21">
        <v>1.1290226988920087E-2</v>
      </c>
      <c r="T42" s="18">
        <v>4.0774338662248983E-3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0.18087437901580916</v>
      </c>
      <c r="N43" s="35">
        <v>0.05</v>
      </c>
      <c r="O43" s="35">
        <v>0.5</v>
      </c>
      <c r="P43" s="35">
        <v>0.26912562098419079</v>
      </c>
      <c r="Q43" s="35"/>
      <c r="R43" s="20">
        <v>4.2329133637554446E-3</v>
      </c>
      <c r="S43" s="21">
        <v>1.2108869166691395E-2</v>
      </c>
      <c r="T43" s="18">
        <v>4.2339133637554396E-3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0.20880290266676366</v>
      </c>
      <c r="N44" s="35">
        <v>0.05</v>
      </c>
      <c r="O44" s="35">
        <v>0.5</v>
      </c>
      <c r="P44" s="35">
        <v>0.24119709733323635</v>
      </c>
      <c r="Q44" s="35"/>
      <c r="R44" s="20">
        <v>4.3883928612462927E-3</v>
      </c>
      <c r="S44" s="21">
        <v>1.3009742967468709E-2</v>
      </c>
      <c r="T44" s="18">
        <v>4.3883928612065883E-3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0.23691221745971786</v>
      </c>
      <c r="N45" s="35">
        <v>0.05</v>
      </c>
      <c r="O45" s="35">
        <v>0.5</v>
      </c>
      <c r="P45" s="35">
        <v>0.21308778254028216</v>
      </c>
      <c r="Q45" s="35"/>
      <c r="R45" s="20">
        <v>4.5438723587371416E-3</v>
      </c>
      <c r="S45" s="21">
        <v>1.3991378505050627E-2</v>
      </c>
      <c r="T45" s="18">
        <v>4.5438723586974364E-3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0.26502153225267228</v>
      </c>
      <c r="N46" s="35">
        <v>0.05</v>
      </c>
      <c r="O46" s="35">
        <v>0.5</v>
      </c>
      <c r="P46" s="35">
        <v>0.18497846774732774</v>
      </c>
      <c r="Q46" s="35"/>
      <c r="R46" s="20">
        <v>4.6993518562279905E-3</v>
      </c>
      <c r="S46" s="21">
        <v>1.5033497405865258E-2</v>
      </c>
      <c r="T46" s="18">
        <v>4.699351856188287E-3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0.29313084704562681</v>
      </c>
      <c r="N47" s="35">
        <v>0.05</v>
      </c>
      <c r="O47" s="35">
        <v>0.5</v>
      </c>
      <c r="P47" s="35">
        <v>0.1568691529543732</v>
      </c>
      <c r="Q47" s="35"/>
      <c r="R47" s="20">
        <v>4.8548313537188385E-3</v>
      </c>
      <c r="S47" s="21">
        <v>1.6124376807222517E-2</v>
      </c>
      <c r="T47" s="18">
        <v>4.8548313536791376E-3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0.32124016183858117</v>
      </c>
      <c r="N48" s="35">
        <v>0.05</v>
      </c>
      <c r="O48" s="35">
        <v>0.5</v>
      </c>
      <c r="P48" s="35">
        <v>0.12875983816141878</v>
      </c>
      <c r="Q48" s="35"/>
      <c r="R48" s="20">
        <v>5.0103108512096865E-3</v>
      </c>
      <c r="S48" s="21">
        <v>1.7254770991786784E-2</v>
      </c>
      <c r="T48" s="18">
        <v>5.0103108511699874E-3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0.3493494766315357</v>
      </c>
      <c r="N49" s="35">
        <v>0.05</v>
      </c>
      <c r="O49" s="35">
        <v>0.5</v>
      </c>
      <c r="P49" s="35">
        <v>0.10065052336846425</v>
      </c>
      <c r="Q49" s="35"/>
      <c r="R49" s="20">
        <v>5.1657903487005354E-3</v>
      </c>
      <c r="S49" s="21">
        <v>1.8417405569875773E-2</v>
      </c>
      <c r="T49" s="18">
        <v>5.165790348660838E-3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0.37745879142448835</v>
      </c>
      <c r="N50" s="35">
        <v>0.05</v>
      </c>
      <c r="O50" s="35">
        <v>0.5</v>
      </c>
      <c r="P50" s="35">
        <v>7.2541208575511718E-2</v>
      </c>
      <c r="Q50" s="35"/>
      <c r="R50" s="20">
        <v>5.3212698461913843E-3</v>
      </c>
      <c r="S50" s="21">
        <v>1.9606545979854433E-2</v>
      </c>
      <c r="T50" s="18">
        <v>5.3212698461516782E-3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0.40617669520178351</v>
      </c>
      <c r="N51" s="35">
        <v>0.05</v>
      </c>
      <c r="O51" s="35">
        <v>0.49382330479821651</v>
      </c>
      <c r="P51" s="35">
        <v>5.0000000000000044E-2</v>
      </c>
      <c r="Q51" s="35"/>
      <c r="R51" s="20">
        <v>5.4767493436822332E-3</v>
      </c>
      <c r="S51" s="21">
        <v>2.0821886756899683E-2</v>
      </c>
      <c r="T51" s="18">
        <v>5.4767493440057713E-3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0.43735833229246251</v>
      </c>
      <c r="N52" s="35">
        <v>0.05</v>
      </c>
      <c r="O52" s="35">
        <v>0.46264166770753751</v>
      </c>
      <c r="P52" s="35">
        <v>5.0000000000000044E-2</v>
      </c>
      <c r="Q52" s="35"/>
      <c r="R52" s="20">
        <v>5.6322288411730813E-3</v>
      </c>
      <c r="S52" s="21">
        <v>2.2072477151792048E-2</v>
      </c>
      <c r="T52" s="18">
        <v>5.6322288411342373E-3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0.46853996945581811</v>
      </c>
      <c r="N53" s="35">
        <v>0.05</v>
      </c>
      <c r="O53" s="35">
        <v>0.43146003054418181</v>
      </c>
      <c r="P53" s="35">
        <v>5.0000000000000044E-2</v>
      </c>
      <c r="Q53" s="35"/>
      <c r="R53" s="20">
        <v>5.7877083386639293E-3</v>
      </c>
      <c r="S53" s="21">
        <v>2.3338116959626527E-2</v>
      </c>
      <c r="T53" s="18">
        <v>5.7877083386250862E-3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0.49972160661917381</v>
      </c>
      <c r="N54" s="35">
        <v>0.05</v>
      </c>
      <c r="O54" s="35">
        <v>0.40027839338082616</v>
      </c>
      <c r="P54" s="35">
        <v>5.0000000000000044E-2</v>
      </c>
      <c r="Q54" s="35"/>
      <c r="R54" s="20">
        <v>5.9431878361547782E-3</v>
      </c>
      <c r="S54" s="21">
        <v>2.4616485021445797E-2</v>
      </c>
      <c r="T54" s="18">
        <v>5.9431878361159369E-3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0.5</v>
      </c>
      <c r="N55" s="35">
        <v>7.7533024760754674E-2</v>
      </c>
      <c r="O55" s="35">
        <v>0.37246697523924538</v>
      </c>
      <c r="P55" s="35">
        <v>5.0000000000000044E-2</v>
      </c>
      <c r="Q55" s="35"/>
      <c r="R55" s="20">
        <v>6.0986673336456271E-3</v>
      </c>
      <c r="S55" s="21">
        <v>2.600587046678066E-2</v>
      </c>
      <c r="T55" s="18">
        <v>6.098667333690978E-3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0.5</v>
      </c>
      <c r="N56" s="35">
        <v>0.10531408210450885</v>
      </c>
      <c r="O56" s="35">
        <v>0.34468591789549102</v>
      </c>
      <c r="P56" s="35">
        <v>5.0000000000000044E-2</v>
      </c>
      <c r="Q56" s="35"/>
      <c r="R56" s="20">
        <v>6.2541468311364751E-3</v>
      </c>
      <c r="S56" s="21">
        <v>2.7422119838575183E-2</v>
      </c>
      <c r="T56" s="18">
        <v>6.2541468311818277E-3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0.5</v>
      </c>
      <c r="N57" s="35">
        <v>0.13309513944826129</v>
      </c>
      <c r="O57" s="35">
        <v>0.31690486055173872</v>
      </c>
      <c r="P57" s="35">
        <v>4.9999999999999933E-2</v>
      </c>
      <c r="Q57" s="35"/>
      <c r="R57" s="20">
        <v>6.4096263286273231E-3</v>
      </c>
      <c r="S57" s="21">
        <v>2.8860580253837576E-2</v>
      </c>
      <c r="T57" s="18">
        <v>6.4096263286726679E-3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0.5</v>
      </c>
      <c r="N58" s="35">
        <v>0.16087619679201567</v>
      </c>
      <c r="O58" s="35">
        <v>0.28912380320798436</v>
      </c>
      <c r="P58" s="35">
        <v>4.9999999999999933E-2</v>
      </c>
      <c r="Q58" s="35"/>
      <c r="R58" s="20">
        <v>6.565105826118172E-3</v>
      </c>
      <c r="S58" s="21">
        <v>3.0318090427598629E-2</v>
      </c>
      <c r="T58" s="18">
        <v>6.5651058261635186E-3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0.5</v>
      </c>
      <c r="N59" s="35">
        <v>0.18865725413576975</v>
      </c>
      <c r="O59" s="35">
        <v>0.26134274586423034</v>
      </c>
      <c r="P59" s="35">
        <v>4.9999999999999933E-2</v>
      </c>
      <c r="Q59" s="35"/>
      <c r="R59" s="20">
        <v>6.7205853236090209E-3</v>
      </c>
      <c r="S59" s="21">
        <v>3.1792030451116469E-2</v>
      </c>
      <c r="T59" s="18">
        <v>6.7205853236543683E-3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0.5</v>
      </c>
      <c r="N60" s="35">
        <v>0.21661699134749535</v>
      </c>
      <c r="O60" s="35">
        <v>0.23338300865250475</v>
      </c>
      <c r="P60" s="35">
        <v>4.9999999999999933E-2</v>
      </c>
      <c r="Q60" s="35"/>
      <c r="R60" s="20">
        <v>6.8760648210998698E-3</v>
      </c>
      <c r="S60" s="21">
        <v>3.3289831002810591E-2</v>
      </c>
      <c r="T60" s="18">
        <v>6.8770648210998691E-3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0.5</v>
      </c>
      <c r="N61" s="35">
        <v>0.24421936882327802</v>
      </c>
      <c r="O61" s="35">
        <v>0.20578063117672199</v>
      </c>
      <c r="P61" s="35">
        <v>5.0000000000000044E-2</v>
      </c>
      <c r="Q61" s="35"/>
      <c r="R61" s="52">
        <v>7.0315443185907179E-3</v>
      </c>
      <c r="S61" s="22">
        <v>3.4780822612245965E-2</v>
      </c>
      <c r="T61" s="21">
        <v>7.031544318636067E-3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0.5</v>
      </c>
      <c r="N62" s="35">
        <v>0.27217910603500395</v>
      </c>
      <c r="O62" s="35">
        <v>0.17782089396499606</v>
      </c>
      <c r="P62" s="35">
        <v>5.0000000000000044E-2</v>
      </c>
      <c r="Q62" s="35"/>
      <c r="R62" s="20">
        <v>7.1870238160815659E-3</v>
      </c>
      <c r="S62" s="21">
        <v>3.6302059357708243E-2</v>
      </c>
      <c r="T62" s="18">
        <v>7.1880238160815695E-3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0.5</v>
      </c>
      <c r="N63" s="35">
        <v>0.29978148351078487</v>
      </c>
      <c r="O63" s="35">
        <v>0.15021851648921508</v>
      </c>
      <c r="P63" s="35">
        <v>5.0000000000000044E-2</v>
      </c>
      <c r="Q63" s="35"/>
      <c r="R63" s="20">
        <v>7.3425033135724148E-3</v>
      </c>
      <c r="S63" s="21">
        <v>3.7813362145247081E-2</v>
      </c>
      <c r="T63" s="18">
        <v>7.3425033136177579E-3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0.5</v>
      </c>
      <c r="N64" s="35">
        <v>0.32756254085453929</v>
      </c>
      <c r="O64" s="35">
        <v>0.12243745914546073</v>
      </c>
      <c r="P64" s="35">
        <v>5.0000000000000044E-2</v>
      </c>
      <c r="Q64" s="35"/>
      <c r="R64" s="20">
        <v>7.4979828110632637E-3</v>
      </c>
      <c r="S64" s="21">
        <v>3.9342881719065574E-2</v>
      </c>
      <c r="T64" s="18">
        <v>7.4979828111086085E-3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0.5</v>
      </c>
      <c r="N65" s="35">
        <v>0.35534359819829353</v>
      </c>
      <c r="O65" s="35">
        <v>9.4656401801706397E-2</v>
      </c>
      <c r="P65" s="35">
        <v>5.0000000000000044E-2</v>
      </c>
      <c r="Q65" s="35"/>
      <c r="R65" s="20">
        <v>7.6534623085541117E-3</v>
      </c>
      <c r="S65" s="21">
        <v>4.0879914452380942E-2</v>
      </c>
      <c r="T65" s="18">
        <v>7.6534623085994583E-3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0.5</v>
      </c>
      <c r="N66" s="35">
        <v>0.38312465554204761</v>
      </c>
      <c r="O66" s="35">
        <v>6.6875344457952374E-2</v>
      </c>
      <c r="P66" s="35">
        <v>5.0000000000000044E-2</v>
      </c>
      <c r="Q66" s="35"/>
      <c r="R66" s="20">
        <v>7.8089418060449606E-3</v>
      </c>
      <c r="S66" s="21">
        <v>4.242364373493164E-2</v>
      </c>
      <c r="T66" s="18">
        <v>7.808941806090308E-3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0.4</v>
      </c>
      <c r="N67" s="35">
        <v>0.49999999999999989</v>
      </c>
      <c r="O67" s="35">
        <v>0.05</v>
      </c>
      <c r="P67" s="35">
        <v>5.0000000000000044E-2</v>
      </c>
      <c r="Q67" s="35"/>
      <c r="R67" s="20">
        <v>7.9644213035358086E-3</v>
      </c>
      <c r="S67" s="21">
        <v>4.4756246836397146E-2</v>
      </c>
      <c r="T67" s="18">
        <v>7.9644213035358086E-3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000"/>
  <sheetViews>
    <sheetView topLeftCell="I27" zoomScale="86" workbookViewId="0">
      <selection activeCell="T55" sqref="T55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VAR(C122:C362)</f>
        <v>1.8464082561309659E-3</v>
      </c>
      <c r="O4" s="36">
        <f>COVAR(E122:E362, C122:C362)</f>
        <v>2.0167833554648167E-3</v>
      </c>
      <c r="P4" s="36">
        <f>COVAR(G122:G362, C122:C362)</f>
        <v>-4.2283966595242379E-5</v>
      </c>
      <c r="Q4" s="36">
        <f>COVAR(I122:I362, C122:C362)</f>
        <v>-1.7269179410034496E-4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COVAR(C122:C362, E122:E362)</f>
        <v>2.0167833554648167E-3</v>
      </c>
      <c r="O5" s="36">
        <f>VAR(E122:E362)</f>
        <v>3.2644860375012669E-3</v>
      </c>
      <c r="P5" s="36">
        <f>COVAR(G122:G362, E122:E362)</f>
        <v>-6.8998485889468897E-5</v>
      </c>
      <c r="Q5" s="36">
        <f>COVAR(I122:I362, E122:E362)</f>
        <v>-2.3425225813424963E-4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COVAR(C122:C362, G122:G362)</f>
        <v>-4.2283966595242379E-5</v>
      </c>
      <c r="O6" s="39">
        <f>COVAR(E122:E362, G122:G362)</f>
        <v>-6.8998485889468897E-5</v>
      </c>
      <c r="P6" s="36">
        <f>VAR(G122:G362)</f>
        <v>9.4657080396921784E-5</v>
      </c>
      <c r="Q6" s="36">
        <f>COVAR(I122:I362, G122:G362)</f>
        <v>1.1072284023911452E-4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COVAR(C122:C362, I122:I362)</f>
        <v>-1.7269179410034496E-4</v>
      </c>
      <c r="O7" s="36">
        <f>COVAR(E122:E362, I122:I362)</f>
        <v>-2.3425225813424963E-4</v>
      </c>
      <c r="P7" s="36">
        <f>COVAR(G122:G362, I122:I362)</f>
        <v>1.1072284023911452E-4</v>
      </c>
      <c r="Q7" s="36">
        <f>VAR(I122:I362)</f>
        <v>1.5741625320521771E-4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AVERAGE(C122:C362)</f>
        <v>6.9490422471623469E-3</v>
      </c>
      <c r="O14" s="24">
        <f>STDEV(C122:C362)</f>
        <v>4.2969852875370258E-2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AVERAGE(E122:E362)</f>
        <v>8.0844590463277459E-3</v>
      </c>
      <c r="O15" s="24">
        <f>STDEV(E122:E362)</f>
        <v>5.7135680948959267E-2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AVERAGE(G122:G362)</f>
        <v>4.0440205751384401E-3</v>
      </c>
      <c r="O16" s="24">
        <f>STDEV(G122:G362)</f>
        <v>9.7291870367940698E-3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AVERAGE(I122:I362)</f>
        <v>3.7631811249284729E-3</v>
      </c>
      <c r="O17" s="24">
        <f>STDEV(I122:I362)</f>
        <v>1.2546563402191761E-2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42</v>
      </c>
      <c r="O20" s="26">
        <f>MAX(N14:N17)</f>
        <v>8.0844590463277459E-3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3.7631811249284729E-3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5.7135680948959267E-2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9.7291870367940698E-3</v>
      </c>
      <c r="Q23" s="12">
        <v>0.39999999999999991</v>
      </c>
      <c r="R23" s="7">
        <v>0.5</v>
      </c>
      <c r="S23" s="3">
        <v>0.05</v>
      </c>
      <c r="T23" s="3">
        <f>1-SUM(Q23:S23)</f>
        <v>5.0000000000000044E-2</v>
      </c>
      <c r="U23" s="3"/>
      <c r="V23" s="6">
        <v>7.2122065070321572E-3</v>
      </c>
      <c r="W23" s="6">
        <f t="array" ref="W23">SQRT(MMULT(MMULT(weights1, vcv), TRANSPOSE(weights1)))</f>
        <v>4.3539435026747751E-2</v>
      </c>
      <c r="X23" s="6">
        <f>MMULT(weights1, rets)</f>
        <v>7.2122065070321564E-3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4.2508738571941174E-3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7.2122065070321564E-3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3.7867040079148833E-3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3.0303386323369676E-2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</v>
      </c>
      <c r="P38" s="35">
        <v>0.5</v>
      </c>
      <c r="Q38" s="35"/>
      <c r="R38" s="20">
        <v>4.2508738571941174E-3</v>
      </c>
      <c r="S38" s="21">
        <v>9.8412897559590328E-3</v>
      </c>
      <c r="T38" s="18">
        <v>4.2508738571941174E-3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7.3237352357277435E-2</v>
      </c>
      <c r="N39" s="35">
        <v>0.05</v>
      </c>
      <c r="O39" s="35">
        <v>0.49999999999999994</v>
      </c>
      <c r="P39" s="35">
        <v>0.3767626476427226</v>
      </c>
      <c r="Q39" s="35"/>
      <c r="R39" s="20">
        <v>4.3529887761540502E-3</v>
      </c>
      <c r="S39" s="21">
        <v>9.7805065865228837E-3</v>
      </c>
      <c r="T39" s="18">
        <v>4.3529887796738137E-3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0.10269840057241902</v>
      </c>
      <c r="N40" s="35">
        <v>5.1910570657352953E-2</v>
      </c>
      <c r="O40" s="35">
        <v>0.5</v>
      </c>
      <c r="P40" s="35">
        <v>0.34539102877022798</v>
      </c>
      <c r="Q40" s="35"/>
      <c r="R40" s="20">
        <v>4.4551036951139822E-3</v>
      </c>
      <c r="S40" s="21">
        <v>1.0093800642797754E-2</v>
      </c>
      <c r="T40" s="18">
        <v>4.455103694601583E-3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0.11300913305452748</v>
      </c>
      <c r="N41" s="35">
        <v>6.7939708057452905E-2</v>
      </c>
      <c r="O41" s="35">
        <v>0.5</v>
      </c>
      <c r="P41" s="35">
        <v>0.3190511588880196</v>
      </c>
      <c r="Q41" s="35"/>
      <c r="R41" s="20">
        <v>4.557218614073915E-3</v>
      </c>
      <c r="S41" s="21">
        <v>1.0609316408496772E-2</v>
      </c>
      <c r="T41" s="18">
        <v>4.557218613904214E-3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0.12331988665780651</v>
      </c>
      <c r="N42" s="35">
        <v>8.3968829806670184E-2</v>
      </c>
      <c r="O42" s="35">
        <v>0.5</v>
      </c>
      <c r="P42" s="35">
        <v>0.29271128353552334</v>
      </c>
      <c r="Q42" s="35"/>
      <c r="R42" s="20">
        <v>4.659333533033847E-3</v>
      </c>
      <c r="S42" s="21">
        <v>1.1288728291681786E-2</v>
      </c>
      <c r="T42" s="18">
        <v>4.6593335328641476E-3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0.13363064022878995</v>
      </c>
      <c r="N43" s="35">
        <v>9.9997951579696653E-2</v>
      </c>
      <c r="O43" s="35">
        <v>0.5</v>
      </c>
      <c r="P43" s="35">
        <v>0.26637140819151339</v>
      </c>
      <c r="Q43" s="35"/>
      <c r="R43" s="20">
        <v>4.7614484519937798E-3</v>
      </c>
      <c r="S43" s="21">
        <v>1.2104469703740019E-2</v>
      </c>
      <c r="T43" s="18">
        <v>4.761448451824077E-3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0.14404236557414421</v>
      </c>
      <c r="N44" s="35">
        <v>0.11618404495832127</v>
      </c>
      <c r="O44" s="35">
        <v>0.5</v>
      </c>
      <c r="P44" s="35">
        <v>0.23977358946753458</v>
      </c>
      <c r="Q44" s="35"/>
      <c r="R44" s="20">
        <v>4.8635633709537118E-3</v>
      </c>
      <c r="S44" s="21">
        <v>1.3040507730981111E-2</v>
      </c>
      <c r="T44" s="18">
        <v>4.864563370767975E-3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0.15425214685466643</v>
      </c>
      <c r="N45" s="35">
        <v>0.13205619550665429</v>
      </c>
      <c r="O45" s="35">
        <v>0.5</v>
      </c>
      <c r="P45" s="35">
        <v>0.21369165763867926</v>
      </c>
      <c r="Q45" s="35"/>
      <c r="R45" s="20">
        <v>4.9656782899136446E-3</v>
      </c>
      <c r="S45" s="21">
        <v>1.4046309596208744E-2</v>
      </c>
      <c r="T45" s="18">
        <v>4.965678289745739E-3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0.1645628996642326</v>
      </c>
      <c r="N46" s="35">
        <v>0.14808531784062073</v>
      </c>
      <c r="O46" s="35">
        <v>0.5</v>
      </c>
      <c r="P46" s="35">
        <v>0.18735178249514672</v>
      </c>
      <c r="Q46" s="35"/>
      <c r="R46" s="20">
        <v>5.0677932088735765E-3</v>
      </c>
      <c r="S46" s="21">
        <v>1.5132634911671763E-2</v>
      </c>
      <c r="T46" s="18">
        <v>5.0677932087038781E-3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0.17487365233123997</v>
      </c>
      <c r="N47" s="35">
        <v>0.16411444028010336</v>
      </c>
      <c r="O47" s="35">
        <v>0.5</v>
      </c>
      <c r="P47" s="35">
        <v>0.16101190738865667</v>
      </c>
      <c r="Q47" s="35"/>
      <c r="R47" s="20">
        <v>5.1699081278335094E-3</v>
      </c>
      <c r="S47" s="21">
        <v>1.6275732673074767E-2</v>
      </c>
      <c r="T47" s="18">
        <v>5.1699081276638066E-3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0.18528537678760468</v>
      </c>
      <c r="N48" s="35">
        <v>0.18030053431413529</v>
      </c>
      <c r="O48" s="35">
        <v>0.5</v>
      </c>
      <c r="P48" s="35">
        <v>0.13441408889826001</v>
      </c>
      <c r="Q48" s="35"/>
      <c r="R48" s="20">
        <v>5.2720230467934413E-3</v>
      </c>
      <c r="S48" s="21">
        <v>1.7476294805932862E-2</v>
      </c>
      <c r="T48" s="18">
        <v>5.2730230466077055E-3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0.19549515714435894</v>
      </c>
      <c r="N49" s="35">
        <v>0.19617268554351583</v>
      </c>
      <c r="O49" s="35">
        <v>0.5</v>
      </c>
      <c r="P49" s="35">
        <v>0.1083321573121252</v>
      </c>
      <c r="Q49" s="35"/>
      <c r="R49" s="20">
        <v>5.3741379657533742E-3</v>
      </c>
      <c r="S49" s="21">
        <v>1.869010885815495E-2</v>
      </c>
      <c r="T49" s="18">
        <v>5.3741379655854685E-3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0.2058059092513041</v>
      </c>
      <c r="N50" s="35">
        <v>0.21220180839548955</v>
      </c>
      <c r="O50" s="35">
        <v>0.5</v>
      </c>
      <c r="P50" s="35">
        <v>8.1992282353206325E-2</v>
      </c>
      <c r="Q50" s="35"/>
      <c r="R50" s="20">
        <v>5.4762528847133061E-3</v>
      </c>
      <c r="S50" s="21">
        <v>1.9945877507316932E-2</v>
      </c>
      <c r="T50" s="18">
        <v>5.4762528845436068E-3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0.21611666129250204</v>
      </c>
      <c r="N51" s="35">
        <v>0.22823093129635014</v>
      </c>
      <c r="O51" s="35">
        <v>0.5</v>
      </c>
      <c r="P51" s="35">
        <v>5.5652407411147853E-2</v>
      </c>
      <c r="Q51" s="35"/>
      <c r="R51" s="20">
        <v>5.5783678036732389E-3</v>
      </c>
      <c r="S51" s="21">
        <v>2.122641982347568E-2</v>
      </c>
      <c r="T51" s="18">
        <v>5.578367803503537E-3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0.21848783160817439</v>
      </c>
      <c r="N52" s="35">
        <v>0.25140643885042624</v>
      </c>
      <c r="O52" s="35">
        <v>0.48010572954139935</v>
      </c>
      <c r="P52" s="35">
        <v>5.0000000000000044E-2</v>
      </c>
      <c r="Q52" s="35"/>
      <c r="R52" s="20">
        <v>5.6804827226331709E-3</v>
      </c>
      <c r="S52" s="21">
        <v>2.2547136757044853E-2</v>
      </c>
      <c r="T52" s="18">
        <v>5.6804827359591623E-3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0.23005585451448624</v>
      </c>
      <c r="N53" s="35">
        <v>0.26836240726378202</v>
      </c>
      <c r="O53" s="35">
        <v>0.45158173822173181</v>
      </c>
      <c r="P53" s="35">
        <v>4.9999999999999933E-2</v>
      </c>
      <c r="Q53" s="35"/>
      <c r="R53" s="20">
        <v>5.7825976415931037E-3</v>
      </c>
      <c r="S53" s="21">
        <v>2.3890987298296314E-2</v>
      </c>
      <c r="T53" s="18">
        <v>5.7825976402980607E-3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0.24162387907420937</v>
      </c>
      <c r="N54" s="35">
        <v>0.28531837810703375</v>
      </c>
      <c r="O54" s="35">
        <v>0.42305774281875691</v>
      </c>
      <c r="P54" s="35">
        <v>5.0000000000000044E-2</v>
      </c>
      <c r="Q54" s="35"/>
      <c r="R54" s="20">
        <v>5.8847125605530357E-3</v>
      </c>
      <c r="S54" s="21">
        <v>2.5248408478786392E-2</v>
      </c>
      <c r="T54" s="18">
        <v>5.8847125592579996E-3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0.25319190346002429</v>
      </c>
      <c r="N55" s="35">
        <v>0.30227434907532114</v>
      </c>
      <c r="O55" s="35">
        <v>0.39453374746465469</v>
      </c>
      <c r="P55" s="35">
        <v>4.9999999999999822E-2</v>
      </c>
      <c r="Q55" s="35"/>
      <c r="R55" s="20">
        <v>5.9868274795129685E-3</v>
      </c>
      <c r="S55" s="21">
        <v>2.6617324004977946E-2</v>
      </c>
      <c r="T55" s="18">
        <v>5.9868274782179289E-3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0.26475992815374072</v>
      </c>
      <c r="N56" s="35">
        <v>0.31923031982223116</v>
      </c>
      <c r="O56" s="35">
        <v>0.36600975202402813</v>
      </c>
      <c r="P56" s="35">
        <v>5.0000000000000044E-2</v>
      </c>
      <c r="Q56" s="35"/>
      <c r="R56" s="20">
        <v>6.0889423984729005E-3</v>
      </c>
      <c r="S56" s="21">
        <v>2.7996047819474939E-2</v>
      </c>
      <c r="T56" s="18">
        <v>6.08894239717786E-3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0.27632795255530263</v>
      </c>
      <c r="N57" s="35">
        <v>0.33618629077919643</v>
      </c>
      <c r="O57" s="35">
        <v>0.33748575666550101</v>
      </c>
      <c r="P57" s="35">
        <v>5.0000000000000044E-2</v>
      </c>
      <c r="Q57" s="35"/>
      <c r="R57" s="20">
        <v>6.1910573174328333E-3</v>
      </c>
      <c r="S57" s="21">
        <v>2.9383199275856777E-2</v>
      </c>
      <c r="T57" s="18">
        <v>6.1910573161377902E-3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0.28800926187046905</v>
      </c>
      <c r="N58" s="35">
        <v>0.35330830927256929</v>
      </c>
      <c r="O58" s="35">
        <v>0.30868242885696173</v>
      </c>
      <c r="P58" s="35">
        <v>4.9999999999999933E-2</v>
      </c>
      <c r="Q58" s="35"/>
      <c r="R58" s="20">
        <v>6.2931722363927661E-3</v>
      </c>
      <c r="S58" s="21">
        <v>3.0791327242230278E-2</v>
      </c>
      <c r="T58" s="18">
        <v>6.2941722350810013E-3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0.29946400235446619</v>
      </c>
      <c r="N59" s="35">
        <v>0.37009823198013891</v>
      </c>
      <c r="O59" s="35">
        <v>0.2804377656653948</v>
      </c>
      <c r="P59" s="35">
        <v>5.0000000000000155E-2</v>
      </c>
      <c r="Q59" s="35"/>
      <c r="R59" s="20">
        <v>6.3952871553526981E-3</v>
      </c>
      <c r="S59" s="21">
        <v>3.2178419190426875E-2</v>
      </c>
      <c r="T59" s="18">
        <v>6.3952871540703827E-3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0.31103202643179118</v>
      </c>
      <c r="N60" s="35">
        <v>0.38705420316707756</v>
      </c>
      <c r="O60" s="35">
        <v>0.25191377040113122</v>
      </c>
      <c r="P60" s="35">
        <v>5.0000000000000044E-2</v>
      </c>
      <c r="Q60" s="35"/>
      <c r="R60" s="20">
        <v>6.49740207431263E-3</v>
      </c>
      <c r="S60" s="21">
        <v>3.3584746795354184E-2</v>
      </c>
      <c r="T60" s="18">
        <v>6.4974020730175887E-3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0.32271333643029826</v>
      </c>
      <c r="N61" s="35">
        <v>0.4041762211691356</v>
      </c>
      <c r="O61" s="35">
        <v>0.22311044240056618</v>
      </c>
      <c r="P61" s="35">
        <v>4.9999999999999933E-2</v>
      </c>
      <c r="Q61" s="35"/>
      <c r="R61" s="52">
        <v>6.5995169932725629E-3</v>
      </c>
      <c r="S61" s="22">
        <v>3.5009794903137881E-2</v>
      </c>
      <c r="T61" s="21">
        <v>6.6005169919607929E-3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0.33416788306987116</v>
      </c>
      <c r="N62" s="35">
        <v>0.42096628324826812</v>
      </c>
      <c r="O62" s="35">
        <v>0.1948658336818607</v>
      </c>
      <c r="P62" s="35">
        <v>5.0000000000000044E-2</v>
      </c>
      <c r="Q62" s="35"/>
      <c r="R62" s="20">
        <v>6.7016319122324957E-3</v>
      </c>
      <c r="S62" s="21">
        <v>3.6411470422381867E-2</v>
      </c>
      <c r="T62" s="18">
        <v>6.7016319109501447E-3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0.34573610116134978</v>
      </c>
      <c r="N63" s="35">
        <v>0.43792211494162175</v>
      </c>
      <c r="O63" s="35">
        <v>0.1663417838970285</v>
      </c>
      <c r="P63" s="35">
        <v>5.0000000000000044E-2</v>
      </c>
      <c r="Q63" s="35"/>
      <c r="R63" s="20">
        <v>6.8037468311924277E-3</v>
      </c>
      <c r="S63" s="21">
        <v>3.7830815264565908E-2</v>
      </c>
      <c r="T63" s="18">
        <v>6.8037468298974262E-3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0.35730412589161697</v>
      </c>
      <c r="N64" s="35">
        <v>0.45487808566224297</v>
      </c>
      <c r="O64" s="35">
        <v>0.13781778844614007</v>
      </c>
      <c r="P64" s="35">
        <v>5.0000000000000044E-2</v>
      </c>
      <c r="Q64" s="35"/>
      <c r="R64" s="20">
        <v>6.9058617501523596E-3</v>
      </c>
      <c r="S64" s="21">
        <v>3.9253572305030682E-2</v>
      </c>
      <c r="T64" s="18">
        <v>6.9058617488573183E-3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0.36887209580884178</v>
      </c>
      <c r="N65" s="35">
        <v>0.47183409579272184</v>
      </c>
      <c r="O65" s="35">
        <v>0.10929380839843632</v>
      </c>
      <c r="P65" s="35">
        <v>5.0000000000000044E-2</v>
      </c>
      <c r="Q65" s="35"/>
      <c r="R65" s="20">
        <v>7.0079766691122924E-3</v>
      </c>
      <c r="S65" s="21">
        <v>4.0679383521396981E-2</v>
      </c>
      <c r="T65" s="18">
        <v>7.007976667817239E-3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0.38044015302277484</v>
      </c>
      <c r="N66" s="35">
        <v>0.48879004315803398</v>
      </c>
      <c r="O66" s="35">
        <v>8.0769803819191147E-2</v>
      </c>
      <c r="P66" s="35">
        <v>4.9999999999999933E-2</v>
      </c>
      <c r="Q66" s="35"/>
      <c r="R66" s="20">
        <v>7.1100915880722253E-3</v>
      </c>
      <c r="S66" s="21">
        <v>4.2107938663696026E-2</v>
      </c>
      <c r="T66" s="18">
        <v>7.1100915867771961E-3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0.39999999999999991</v>
      </c>
      <c r="N67" s="35">
        <v>0.5</v>
      </c>
      <c r="O67" s="35">
        <v>0.05</v>
      </c>
      <c r="P67" s="35">
        <v>5.0000000000000044E-2</v>
      </c>
      <c r="Q67" s="35"/>
      <c r="R67" s="20">
        <v>7.2122065070321572E-3</v>
      </c>
      <c r="S67" s="21">
        <v>4.3539435026747751E-2</v>
      </c>
      <c r="T67" s="18">
        <v>7.2122065070321564E-3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AE1000"/>
  <sheetViews>
    <sheetView topLeftCell="K1" zoomScale="87" workbookViewId="0">
      <selection activeCell="T40" sqref="T40"/>
    </sheetView>
  </sheetViews>
  <sheetFormatPr baseColWidth="10" defaultColWidth="10.83203125" defaultRowHeight="16" x14ac:dyDescent="0.2"/>
  <cols>
    <col min="1" max="1" width="11" style="4" bestFit="1" customWidth="1"/>
    <col min="2" max="2" width="28" style="44" customWidth="1"/>
    <col min="3" max="3" width="19.33203125" style="44" customWidth="1"/>
    <col min="4" max="4" width="31.83203125" style="44" customWidth="1"/>
    <col min="5" max="5" width="19.33203125" style="44" customWidth="1"/>
    <col min="6" max="6" width="33.83203125" style="44" customWidth="1"/>
    <col min="7" max="7" width="19.33203125" style="44" customWidth="1"/>
    <col min="8" max="8" width="22.6640625" style="44" customWidth="1"/>
    <col min="9" max="9" width="19.33203125" style="44" customWidth="1"/>
    <col min="10" max="11" width="11" style="4" bestFit="1" customWidth="1"/>
    <col min="12" max="12" width="11" style="4" customWidth="1"/>
    <col min="13" max="17" width="33.6640625" style="12" customWidth="1"/>
    <col min="18" max="18" width="17.83203125" style="7" customWidth="1"/>
    <col min="19" max="21" width="19" style="4" customWidth="1"/>
    <col min="22" max="16384" width="10.83203125" style="4"/>
  </cols>
  <sheetData>
    <row r="1" spans="1:31" x14ac:dyDescent="0.2">
      <c r="A1" s="1" t="s">
        <v>0</v>
      </c>
      <c r="B1" s="42" t="s">
        <v>36</v>
      </c>
      <c r="C1" s="43" t="s">
        <v>38</v>
      </c>
      <c r="D1" s="42" t="s">
        <v>37</v>
      </c>
      <c r="E1" s="43" t="s">
        <v>38</v>
      </c>
      <c r="F1" s="42" t="s">
        <v>39</v>
      </c>
      <c r="G1" s="43" t="s">
        <v>38</v>
      </c>
      <c r="H1" s="42" t="s">
        <v>40</v>
      </c>
      <c r="I1" s="43" t="s">
        <v>38</v>
      </c>
      <c r="J1" s="2"/>
      <c r="K1" s="1"/>
      <c r="L1" s="1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1:31" x14ac:dyDescent="0.2">
      <c r="A2" s="41">
        <v>32171</v>
      </c>
      <c r="B2" s="49">
        <v>257.47000000000003</v>
      </c>
      <c r="C2" s="43"/>
      <c r="D2" s="49">
        <v>398.84</v>
      </c>
      <c r="E2" s="43"/>
      <c r="F2" s="48">
        <v>332.76</v>
      </c>
      <c r="G2" s="43"/>
      <c r="H2" s="48">
        <v>395.04</v>
      </c>
      <c r="I2" s="43"/>
      <c r="J2" s="1"/>
      <c r="K2" s="1"/>
      <c r="L2" s="1"/>
      <c r="M2" s="23" t="s">
        <v>35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1:31" x14ac:dyDescent="0.2">
      <c r="A3" s="41">
        <v>32202</v>
      </c>
      <c r="B3" s="49">
        <v>269.47000000000003</v>
      </c>
      <c r="C3" s="43">
        <f>B3/B2-1</f>
        <v>4.6607371732628966E-2</v>
      </c>
      <c r="D3" s="50">
        <v>434.79</v>
      </c>
      <c r="E3" s="43">
        <f>D3/D2-1</f>
        <v>9.0136395547086634E-2</v>
      </c>
      <c r="F3" s="48">
        <v>336.71</v>
      </c>
      <c r="G3" s="43">
        <f>F3/F2-1</f>
        <v>1.1870417117441967E-2</v>
      </c>
      <c r="H3" s="48">
        <v>399.16</v>
      </c>
      <c r="I3" s="43">
        <f>H3/H2-1</f>
        <v>1.0429323612798802E-2</v>
      </c>
      <c r="J3" s="1"/>
      <c r="K3" s="1"/>
      <c r="L3" s="1"/>
      <c r="M3" s="40"/>
      <c r="N3" s="40" t="s">
        <v>41</v>
      </c>
      <c r="O3" s="40" t="s">
        <v>42</v>
      </c>
      <c r="P3" s="40" t="s">
        <v>43</v>
      </c>
      <c r="Q3" s="40" t="s">
        <v>44</v>
      </c>
      <c r="R3" s="45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</row>
    <row r="4" spans="1:31" x14ac:dyDescent="0.2">
      <c r="A4" s="41">
        <v>32233</v>
      </c>
      <c r="B4" s="49">
        <v>261.14999999999998</v>
      </c>
      <c r="C4" s="43">
        <f t="shared" ref="C4:C67" si="0">B4/B3-1</f>
        <v>-3.0875422124912011E-2</v>
      </c>
      <c r="D4" s="50">
        <v>455.12</v>
      </c>
      <c r="E4" s="43">
        <f t="shared" ref="E4:E67" si="1">D4/D3-1</f>
        <v>4.6758205110513096E-2</v>
      </c>
      <c r="F4" s="48">
        <v>333.55</v>
      </c>
      <c r="G4" s="43">
        <f t="shared" ref="G4:G67" si="2">F4/F3-1</f>
        <v>-9.384930652490131E-3</v>
      </c>
      <c r="H4" s="48">
        <v>394.7</v>
      </c>
      <c r="I4" s="43">
        <f t="shared" ref="I4:I67" si="3">H4/H3-1</f>
        <v>-1.1173464274977563E-2</v>
      </c>
      <c r="J4" s="1"/>
      <c r="K4" s="1"/>
      <c r="L4" s="1"/>
      <c r="M4" s="40" t="s">
        <v>41</v>
      </c>
      <c r="N4" s="36">
        <f>VAR(C3:C362)</f>
        <v>1.646744558057056E-3</v>
      </c>
      <c r="O4" s="36">
        <f>COVAR(E3:E362, C3:C362)</f>
        <v>1.7182852580474826E-3</v>
      </c>
      <c r="P4" s="36">
        <f>COVAR(G3:G362, C3:C362)</f>
        <v>5.3385323900411671E-5</v>
      </c>
      <c r="Q4" s="36">
        <f>COVAR(I3:I362, C3:C362)</f>
        <v>-3.3412257434225377E-5</v>
      </c>
      <c r="R4" s="46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1:31" x14ac:dyDescent="0.2">
      <c r="A5" s="41">
        <v>32262</v>
      </c>
      <c r="B5" s="49">
        <v>264.04000000000002</v>
      </c>
      <c r="C5" s="43">
        <f t="shared" si="0"/>
        <v>1.1066436913651279E-2</v>
      </c>
      <c r="D5" s="50">
        <v>465.47</v>
      </c>
      <c r="E5" s="43">
        <f t="shared" si="1"/>
        <v>2.2741255053612353E-2</v>
      </c>
      <c r="F5" s="48">
        <v>331.75</v>
      </c>
      <c r="G5" s="43">
        <f t="shared" si="2"/>
        <v>-5.3964922800180393E-3</v>
      </c>
      <c r="H5" s="48">
        <v>392.48</v>
      </c>
      <c r="I5" s="43">
        <f t="shared" si="3"/>
        <v>-5.6245249556624577E-3</v>
      </c>
      <c r="J5" s="1"/>
      <c r="K5" s="1"/>
      <c r="L5" s="1"/>
      <c r="M5" s="40" t="s">
        <v>42</v>
      </c>
      <c r="N5" s="36">
        <f>COVAR(C3:C362, E3:E362)</f>
        <v>1.7182852580474826E-3</v>
      </c>
      <c r="O5" s="36">
        <f>VAR(E3:E362)</f>
        <v>2.8029730541045696E-3</v>
      </c>
      <c r="P5" s="36">
        <f>COVAR(G3:G362, E3:E362)</f>
        <v>-1.9342868576387873E-6</v>
      </c>
      <c r="Q5" s="36">
        <f>COVAR(I3:I362, E3:E362)</f>
        <v>-1.1645393288052557E-4</v>
      </c>
      <c r="R5" s="47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</row>
    <row r="6" spans="1:31" x14ac:dyDescent="0.2">
      <c r="A6" s="41">
        <v>32294</v>
      </c>
      <c r="B6" s="49">
        <v>266.32</v>
      </c>
      <c r="C6" s="43">
        <f t="shared" si="0"/>
        <v>8.6350552946521386E-3</v>
      </c>
      <c r="D6" s="50">
        <v>452.96</v>
      </c>
      <c r="E6" s="43">
        <f t="shared" si="1"/>
        <v>-2.6876060755795295E-2</v>
      </c>
      <c r="F6" s="48">
        <v>329.52</v>
      </c>
      <c r="G6" s="43">
        <f t="shared" si="2"/>
        <v>-6.7219291635267631E-3</v>
      </c>
      <c r="H6" s="48">
        <v>389.55</v>
      </c>
      <c r="I6" s="43">
        <f t="shared" si="3"/>
        <v>-7.4653485527924612E-3</v>
      </c>
      <c r="J6" s="1"/>
      <c r="K6" s="1"/>
      <c r="L6" s="1"/>
      <c r="M6" s="40" t="s">
        <v>43</v>
      </c>
      <c r="N6" s="39">
        <f>COVAR(C3:C362, G3:G362)</f>
        <v>5.3385323900411671E-5</v>
      </c>
      <c r="O6" s="39">
        <f>COVAR(E3:E362, G3:G362)</f>
        <v>-1.9342868576387873E-6</v>
      </c>
      <c r="P6" s="36">
        <f>VAR(G3:G362)</f>
        <v>1.1396001150877992E-4</v>
      </c>
      <c r="Q6" s="36">
        <f>COVAR(I3:I362, G3:G362)</f>
        <v>1.2741691392161879E-4</v>
      </c>
      <c r="R6" s="46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x14ac:dyDescent="0.2">
      <c r="A7" s="41">
        <v>32324</v>
      </c>
      <c r="B7" s="49">
        <v>278.54000000000002</v>
      </c>
      <c r="C7" s="43">
        <f t="shared" si="0"/>
        <v>4.5884650045058706E-2</v>
      </c>
      <c r="D7" s="50">
        <v>485.26</v>
      </c>
      <c r="E7" s="43">
        <f t="shared" si="1"/>
        <v>7.1308724832214843E-2</v>
      </c>
      <c r="F7" s="48">
        <v>337.47</v>
      </c>
      <c r="G7" s="43">
        <f t="shared" si="2"/>
        <v>2.4126001456664437E-2</v>
      </c>
      <c r="H7" s="48">
        <v>398.43</v>
      </c>
      <c r="I7" s="43">
        <f t="shared" si="3"/>
        <v>2.2795533307662597E-2</v>
      </c>
      <c r="J7" s="1"/>
      <c r="K7" s="1"/>
      <c r="L7" s="1"/>
      <c r="M7" s="40" t="s">
        <v>44</v>
      </c>
      <c r="N7" s="39">
        <f>COVAR(C3:C362, I3:I362)</f>
        <v>-3.3412257434225377E-5</v>
      </c>
      <c r="O7" s="36">
        <f>COVAR(E3:E362, I3:I362)</f>
        <v>-1.1645393288052557E-4</v>
      </c>
      <c r="P7" s="36">
        <f>COVAR(G3:G362, I3:I362)</f>
        <v>1.2741691392161879E-4</v>
      </c>
      <c r="Q7" s="36">
        <f>VAR(I3:I362)</f>
        <v>1.6245944280834535E-4</v>
      </c>
      <c r="R7" s="4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x14ac:dyDescent="0.2">
      <c r="A8" s="41">
        <v>32353</v>
      </c>
      <c r="B8" s="49">
        <v>277.49</v>
      </c>
      <c r="C8" s="43">
        <f t="shared" si="0"/>
        <v>-3.7696560637611176E-3</v>
      </c>
      <c r="D8" s="50">
        <v>480.65</v>
      </c>
      <c r="E8" s="43">
        <f t="shared" si="1"/>
        <v>-9.5000618225281608E-3</v>
      </c>
      <c r="F8" s="48">
        <v>335.7</v>
      </c>
      <c r="G8" s="43">
        <f t="shared" si="2"/>
        <v>-5.2449106587253436E-3</v>
      </c>
      <c r="H8" s="48">
        <v>395.54</v>
      </c>
      <c r="I8" s="43">
        <f t="shared" si="3"/>
        <v>-7.253469869236695E-3</v>
      </c>
      <c r="J8" s="1"/>
      <c r="K8" s="1"/>
      <c r="L8" s="1"/>
      <c r="M8" s="45"/>
      <c r="N8" s="46"/>
      <c r="O8" s="46"/>
      <c r="P8" s="46"/>
      <c r="Q8" s="46"/>
      <c r="R8" s="46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x14ac:dyDescent="0.2">
      <c r="A9" s="41">
        <v>32386</v>
      </c>
      <c r="B9" s="49">
        <v>268.07</v>
      </c>
      <c r="C9" s="43">
        <f t="shared" si="0"/>
        <v>-3.3947169267361077E-2</v>
      </c>
      <c r="D9" s="50">
        <v>468.4</v>
      </c>
      <c r="E9" s="43">
        <f t="shared" si="1"/>
        <v>-2.548632060751066E-2</v>
      </c>
      <c r="F9" s="48">
        <v>336.58</v>
      </c>
      <c r="G9" s="43">
        <f t="shared" si="2"/>
        <v>2.6213881441763398E-3</v>
      </c>
      <c r="H9" s="48">
        <v>396.26</v>
      </c>
      <c r="I9" s="43">
        <f t="shared" si="3"/>
        <v>1.8202963037872166E-3</v>
      </c>
      <c r="J9" s="1"/>
      <c r="K9" s="1"/>
      <c r="L9" s="1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x14ac:dyDescent="0.2">
      <c r="A10" s="41">
        <v>32416</v>
      </c>
      <c r="B10" s="49">
        <v>279.49</v>
      </c>
      <c r="C10" s="43">
        <f t="shared" si="0"/>
        <v>4.2600813220427636E-2</v>
      </c>
      <c r="D10" s="50">
        <v>480.82</v>
      </c>
      <c r="E10" s="43">
        <f t="shared" si="1"/>
        <v>2.6515798462852347E-2</v>
      </c>
      <c r="F10" s="48">
        <v>344.2</v>
      </c>
      <c r="G10" s="43">
        <f t="shared" si="2"/>
        <v>2.2639491354210062E-2</v>
      </c>
      <c r="H10" s="48">
        <v>405.1</v>
      </c>
      <c r="I10" s="43">
        <f t="shared" si="3"/>
        <v>2.2308585272295955E-2</v>
      </c>
      <c r="J10" s="1"/>
      <c r="K10" s="1"/>
      <c r="L10" s="1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x14ac:dyDescent="0.2">
      <c r="A11" s="41">
        <v>32447</v>
      </c>
      <c r="B11" s="49">
        <v>287.27</v>
      </c>
      <c r="C11" s="43">
        <f t="shared" si="0"/>
        <v>2.7836416329743319E-2</v>
      </c>
      <c r="D11" s="50">
        <v>475.49</v>
      </c>
      <c r="E11" s="43">
        <f t="shared" si="1"/>
        <v>-1.1085229399775298E-2</v>
      </c>
      <c r="F11" s="48">
        <v>350.68</v>
      </c>
      <c r="G11" s="43">
        <f t="shared" si="2"/>
        <v>1.8826263800116205E-2</v>
      </c>
      <c r="H11" s="48">
        <v>412.38</v>
      </c>
      <c r="I11" s="43">
        <f t="shared" si="3"/>
        <v>1.7970871389780152E-2</v>
      </c>
      <c r="J11" s="1"/>
      <c r="K11" s="1"/>
      <c r="L11" s="1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x14ac:dyDescent="0.2">
      <c r="A12" s="41">
        <v>32477</v>
      </c>
      <c r="B12" s="49">
        <v>283.18</v>
      </c>
      <c r="C12" s="43">
        <f t="shared" si="0"/>
        <v>-1.4237476938072091E-2</v>
      </c>
      <c r="D12" s="50">
        <v>459.73</v>
      </c>
      <c r="E12" s="43">
        <f t="shared" si="1"/>
        <v>-3.3144755935981762E-2</v>
      </c>
      <c r="F12" s="48">
        <v>346.42</v>
      </c>
      <c r="G12" s="43">
        <f t="shared" si="2"/>
        <v>-1.214782707881823E-2</v>
      </c>
      <c r="H12" s="48">
        <v>407.35</v>
      </c>
      <c r="I12" s="43">
        <f t="shared" si="3"/>
        <v>-1.2197487754013192E-2</v>
      </c>
      <c r="J12" s="1"/>
      <c r="K12" s="1"/>
      <c r="L12" s="1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x14ac:dyDescent="0.2">
      <c r="A13" s="41">
        <v>32507</v>
      </c>
      <c r="B13" s="49">
        <v>288.12</v>
      </c>
      <c r="C13" s="43">
        <f t="shared" si="0"/>
        <v>1.7444734797655181E-2</v>
      </c>
      <c r="D13" s="50">
        <v>477.78</v>
      </c>
      <c r="E13" s="43">
        <f t="shared" si="1"/>
        <v>3.9262175624823259E-2</v>
      </c>
      <c r="F13" s="48">
        <v>346.81</v>
      </c>
      <c r="G13" s="43">
        <f t="shared" si="2"/>
        <v>1.1258010507475547E-3</v>
      </c>
      <c r="H13" s="48">
        <v>408.99</v>
      </c>
      <c r="I13" s="43">
        <f t="shared" si="3"/>
        <v>4.0260218485330679E-3</v>
      </c>
      <c r="J13" s="1"/>
      <c r="K13" s="1"/>
      <c r="L13" s="1"/>
      <c r="N13" s="23" t="s">
        <v>7</v>
      </c>
      <c r="O13" s="23" t="s">
        <v>15</v>
      </c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x14ac:dyDescent="0.2">
      <c r="A14" s="41">
        <v>32539</v>
      </c>
      <c r="B14" s="49">
        <v>309.20999999999998</v>
      </c>
      <c r="C14" s="43">
        <f t="shared" si="0"/>
        <v>7.3198667221990643E-2</v>
      </c>
      <c r="D14" s="50">
        <v>499.12</v>
      </c>
      <c r="E14" s="43">
        <f t="shared" si="1"/>
        <v>4.4664908535309245E-2</v>
      </c>
      <c r="F14" s="48">
        <v>351.8</v>
      </c>
      <c r="G14" s="43">
        <f t="shared" si="2"/>
        <v>1.438828176811513E-2</v>
      </c>
      <c r="H14" s="48">
        <v>414.27</v>
      </c>
      <c r="I14" s="43">
        <f t="shared" si="3"/>
        <v>1.2909851096603697E-2</v>
      </c>
      <c r="J14" s="1"/>
      <c r="K14" s="1"/>
      <c r="L14" s="1"/>
      <c r="M14" s="45" t="s">
        <v>41</v>
      </c>
      <c r="N14" s="24">
        <f>AVERAGE(C3:C362)</f>
        <v>9.3755501241404929E-3</v>
      </c>
      <c r="O14" s="24">
        <f>STDEV(C3:C362)</f>
        <v>4.0580100518074813E-2</v>
      </c>
      <c r="P14" s="25"/>
      <c r="R14" s="9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x14ac:dyDescent="0.2">
      <c r="A15" s="41">
        <v>32567</v>
      </c>
      <c r="B15" s="49">
        <v>301.51</v>
      </c>
      <c r="C15" s="43">
        <f t="shared" si="0"/>
        <v>-2.4902170046246841E-2</v>
      </c>
      <c r="D15" s="50">
        <v>502.76</v>
      </c>
      <c r="E15" s="43">
        <f t="shared" si="1"/>
        <v>7.2928353902868004E-3</v>
      </c>
      <c r="F15" s="48">
        <v>349.25</v>
      </c>
      <c r="G15" s="43">
        <f t="shared" si="2"/>
        <v>-7.248436611711262E-3</v>
      </c>
      <c r="H15" s="48">
        <v>410.67</v>
      </c>
      <c r="I15" s="43">
        <f t="shared" si="3"/>
        <v>-8.6899847925265838E-3</v>
      </c>
      <c r="J15" s="1"/>
      <c r="K15" s="1"/>
      <c r="L15" s="1"/>
      <c r="M15" s="45" t="s">
        <v>42</v>
      </c>
      <c r="N15" s="24">
        <f>AVERAGE(E3:E362)</f>
        <v>9.6929335348551176E-3</v>
      </c>
      <c r="O15" s="24">
        <f>STDEV(E3:E362)</f>
        <v>5.2943111488696709E-2</v>
      </c>
      <c r="R15" s="9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x14ac:dyDescent="0.2">
      <c r="A16" s="41">
        <v>32598</v>
      </c>
      <c r="B16" s="49">
        <v>308.54000000000002</v>
      </c>
      <c r="C16" s="43">
        <f t="shared" si="0"/>
        <v>2.3315976252860748E-2</v>
      </c>
      <c r="D16" s="50">
        <v>514.62</v>
      </c>
      <c r="E16" s="43">
        <f t="shared" si="1"/>
        <v>2.3589784390166235E-2</v>
      </c>
      <c r="F16" s="48">
        <v>350.76</v>
      </c>
      <c r="G16" s="43">
        <f t="shared" si="2"/>
        <v>4.3235504652827661E-3</v>
      </c>
      <c r="H16" s="48">
        <v>413.36</v>
      </c>
      <c r="I16" s="43">
        <f t="shared" si="3"/>
        <v>6.5502715075365092E-3</v>
      </c>
      <c r="J16" s="1"/>
      <c r="K16" s="1"/>
      <c r="L16" s="1"/>
      <c r="M16" s="45" t="s">
        <v>43</v>
      </c>
      <c r="N16" s="24">
        <f>AVERAGE(G3:G362)</f>
        <v>5.0825721051418003E-3</v>
      </c>
      <c r="O16" s="24">
        <f>STDEV(G3:G362)</f>
        <v>1.0675205455108578E-2</v>
      </c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x14ac:dyDescent="0.2">
      <c r="A17" s="41">
        <v>32626</v>
      </c>
      <c r="B17" s="49">
        <v>324.56</v>
      </c>
      <c r="C17" s="43">
        <f t="shared" si="0"/>
        <v>5.1921955013936483E-2</v>
      </c>
      <c r="D17" s="50">
        <v>537.08000000000004</v>
      </c>
      <c r="E17" s="43">
        <f t="shared" si="1"/>
        <v>4.3643853717306058E-2</v>
      </c>
      <c r="F17" s="48">
        <v>358.1</v>
      </c>
      <c r="G17" s="43">
        <f t="shared" si="2"/>
        <v>2.0925989280419666E-2</v>
      </c>
      <c r="H17" s="48">
        <v>422.27</v>
      </c>
      <c r="I17" s="43">
        <f t="shared" si="3"/>
        <v>2.1555060963808659E-2</v>
      </c>
      <c r="J17" s="1"/>
      <c r="K17" s="1"/>
      <c r="L17" s="1"/>
      <c r="M17" s="45" t="s">
        <v>44</v>
      </c>
      <c r="N17" s="24">
        <f>AVERAGE(I3:I362)</f>
        <v>4.8225058529313813E-3</v>
      </c>
      <c r="O17" s="24">
        <f>STDEV(I3:I362)</f>
        <v>1.2745957900775656E-2</v>
      </c>
      <c r="P17" s="25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x14ac:dyDescent="0.2">
      <c r="A18" s="41">
        <v>32659</v>
      </c>
      <c r="B18" s="49">
        <v>337.69</v>
      </c>
      <c r="C18" s="43">
        <f t="shared" si="0"/>
        <v>4.0454769534138402E-2</v>
      </c>
      <c r="D18" s="50">
        <v>560.21</v>
      </c>
      <c r="E18" s="43">
        <f t="shared" si="1"/>
        <v>4.3066209875623818E-2</v>
      </c>
      <c r="F18" s="48">
        <v>367.51</v>
      </c>
      <c r="G18" s="43">
        <f t="shared" si="2"/>
        <v>2.6277576096062516E-2</v>
      </c>
      <c r="H18" s="48">
        <v>432.3</v>
      </c>
      <c r="I18" s="43">
        <f t="shared" si="3"/>
        <v>2.3752575366471795E-2</v>
      </c>
      <c r="J18" s="1"/>
      <c r="K18" s="1"/>
      <c r="L18" s="1"/>
      <c r="N18" s="24"/>
      <c r="O18" s="24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x14ac:dyDescent="0.2">
      <c r="A19" s="41">
        <v>32689</v>
      </c>
      <c r="B19" s="49">
        <v>335.78</v>
      </c>
      <c r="C19" s="43">
        <f t="shared" si="0"/>
        <v>-5.6560750984631092E-3</v>
      </c>
      <c r="D19" s="50">
        <v>547.4</v>
      </c>
      <c r="E19" s="43">
        <f t="shared" si="1"/>
        <v>-2.2866425090591114E-2</v>
      </c>
      <c r="F19" s="48">
        <v>378.7</v>
      </c>
      <c r="G19" s="43">
        <f t="shared" si="2"/>
        <v>3.0448151070719076E-2</v>
      </c>
      <c r="H19" s="48">
        <v>447.11</v>
      </c>
      <c r="I19" s="43">
        <f t="shared" si="3"/>
        <v>3.4258616701364764E-2</v>
      </c>
      <c r="J19" s="1"/>
      <c r="K19" s="1"/>
      <c r="L19" s="1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x14ac:dyDescent="0.2">
      <c r="A20" s="41">
        <v>32720</v>
      </c>
      <c r="B20" s="49">
        <v>366.1</v>
      </c>
      <c r="C20" s="43">
        <f t="shared" si="0"/>
        <v>9.0297218416820701E-2</v>
      </c>
      <c r="D20" s="50">
        <v>568.54999999999995</v>
      </c>
      <c r="E20" s="43">
        <f t="shared" si="1"/>
        <v>3.863719400803789E-2</v>
      </c>
      <c r="F20" s="48">
        <v>386.75</v>
      </c>
      <c r="G20" s="43">
        <f t="shared" si="2"/>
        <v>2.1256931608133023E-2</v>
      </c>
      <c r="H20" s="48">
        <v>456.72</v>
      </c>
      <c r="I20" s="43">
        <f t="shared" si="3"/>
        <v>2.1493592180895194E-2</v>
      </c>
      <c r="J20" s="1"/>
      <c r="K20" s="1"/>
      <c r="L20" s="1"/>
      <c r="M20" s="12" t="s">
        <v>19</v>
      </c>
      <c r="N20" s="45" t="s">
        <v>42</v>
      </c>
      <c r="O20" s="26">
        <f>MAX(N14:N17)</f>
        <v>9.6929335348551176E-3</v>
      </c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x14ac:dyDescent="0.2">
      <c r="A21" s="41">
        <v>32751</v>
      </c>
      <c r="B21" s="49">
        <v>373.25</v>
      </c>
      <c r="C21" s="43">
        <f t="shared" si="0"/>
        <v>1.953018301010645E-2</v>
      </c>
      <c r="D21" s="50">
        <v>582.41</v>
      </c>
      <c r="E21" s="43">
        <f t="shared" si="1"/>
        <v>2.4377803183537106E-2</v>
      </c>
      <c r="F21" s="48">
        <v>381.02</v>
      </c>
      <c r="G21" s="43">
        <f t="shared" si="2"/>
        <v>-1.4815772462831278E-2</v>
      </c>
      <c r="H21" s="48">
        <v>448.8</v>
      </c>
      <c r="I21" s="43">
        <f t="shared" si="3"/>
        <v>-1.7341040462427793E-2</v>
      </c>
      <c r="J21" s="1"/>
      <c r="K21" s="1"/>
      <c r="L21" s="1"/>
      <c r="M21" s="12" t="s">
        <v>20</v>
      </c>
      <c r="N21" s="45" t="s">
        <v>44</v>
      </c>
      <c r="O21" s="26">
        <f>MIN(N14:N17)</f>
        <v>4.8225058529313813E-3</v>
      </c>
      <c r="Q21" s="23" t="s">
        <v>24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x14ac:dyDescent="0.2">
      <c r="A22" s="41">
        <v>32780</v>
      </c>
      <c r="B22" s="49">
        <v>371.74</v>
      </c>
      <c r="C22" s="43">
        <f t="shared" si="0"/>
        <v>-4.0455458807768796E-3</v>
      </c>
      <c r="D22" s="50">
        <v>584.26</v>
      </c>
      <c r="E22" s="43">
        <f t="shared" si="1"/>
        <v>3.1764564482066326E-3</v>
      </c>
      <c r="F22" s="48">
        <v>382.97</v>
      </c>
      <c r="G22" s="43">
        <f t="shared" si="2"/>
        <v>5.1178415831190094E-3</v>
      </c>
      <c r="H22" s="48">
        <v>450.67</v>
      </c>
      <c r="I22" s="43">
        <f t="shared" si="3"/>
        <v>4.1666666666666519E-3</v>
      </c>
      <c r="J22" s="1"/>
      <c r="K22" s="1"/>
      <c r="L22" s="1"/>
      <c r="M22" s="12" t="s">
        <v>21</v>
      </c>
      <c r="N22" s="45" t="s">
        <v>42</v>
      </c>
      <c r="O22" s="26">
        <f>MAX(O14:O17)</f>
        <v>5.2943111488696709E-2</v>
      </c>
      <c r="Q22" s="45" t="s">
        <v>41</v>
      </c>
      <c r="R22" s="45" t="s">
        <v>42</v>
      </c>
      <c r="S22" s="45" t="s">
        <v>43</v>
      </c>
      <c r="T22" s="45" t="s">
        <v>44</v>
      </c>
      <c r="U22" s="16"/>
      <c r="V22" s="3" t="s">
        <v>25</v>
      </c>
      <c r="W22" s="3" t="s">
        <v>17</v>
      </c>
      <c r="X22" s="3" t="s">
        <v>16</v>
      </c>
      <c r="Z22" s="3"/>
      <c r="AA22" s="3"/>
      <c r="AB22" s="3"/>
      <c r="AC22" s="3"/>
      <c r="AD22" s="3"/>
      <c r="AE22" s="3"/>
    </row>
    <row r="23" spans="1:31" x14ac:dyDescent="0.2">
      <c r="A23" s="41">
        <v>32812</v>
      </c>
      <c r="B23" s="49">
        <v>363.11</v>
      </c>
      <c r="C23" s="43">
        <f t="shared" si="0"/>
        <v>-2.3215150373917193E-2</v>
      </c>
      <c r="D23" s="50">
        <v>549.67999999999995</v>
      </c>
      <c r="E23" s="43">
        <f t="shared" si="1"/>
        <v>-5.9185978845034848E-2</v>
      </c>
      <c r="F23" s="48">
        <v>392.4</v>
      </c>
      <c r="G23" s="43">
        <f t="shared" si="2"/>
        <v>2.4623338642713488E-2</v>
      </c>
      <c r="H23" s="48">
        <v>462.63</v>
      </c>
      <c r="I23" s="43">
        <f t="shared" si="3"/>
        <v>2.6538265249517412E-2</v>
      </c>
      <c r="J23" s="1"/>
      <c r="K23" s="1"/>
      <c r="L23" s="1"/>
      <c r="M23" s="12" t="s">
        <v>22</v>
      </c>
      <c r="N23" s="45" t="s">
        <v>43</v>
      </c>
      <c r="O23" s="26">
        <f>MIN(O14:O17)</f>
        <v>1.0675205455108578E-2</v>
      </c>
      <c r="Q23" s="12">
        <v>0.4</v>
      </c>
      <c r="R23" s="7">
        <v>0.49999999999999994</v>
      </c>
      <c r="S23" s="3">
        <v>0.05</v>
      </c>
      <c r="T23" s="3">
        <f>1-SUM(Q23:S23)</f>
        <v>5.0000000000000044E-2</v>
      </c>
      <c r="U23" s="3"/>
      <c r="V23" s="6">
        <v>9.0919407149874145E-3</v>
      </c>
      <c r="W23" s="6">
        <f t="array" ref="W23">SQRT(MMULT(MMULT(weights1, vcv), TRANSPOSE(weights1)))</f>
        <v>4.0592414819906983E-2</v>
      </c>
      <c r="X23" s="6">
        <f>MMULT(weights1, rets)</f>
        <v>9.0919407149874145E-3</v>
      </c>
      <c r="Z23" s="3"/>
      <c r="AA23" s="3"/>
      <c r="AB23" s="3"/>
      <c r="AC23" s="3"/>
      <c r="AD23" s="3"/>
      <c r="AE23" s="3"/>
    </row>
    <row r="24" spans="1:31" x14ac:dyDescent="0.2">
      <c r="A24" s="41">
        <v>32842</v>
      </c>
      <c r="B24" s="49">
        <v>370.51</v>
      </c>
      <c r="C24" s="43">
        <f t="shared" si="0"/>
        <v>2.0379499325273276E-2</v>
      </c>
      <c r="D24" s="50">
        <v>553.37</v>
      </c>
      <c r="E24" s="43">
        <f t="shared" si="1"/>
        <v>6.7129966525980578E-3</v>
      </c>
      <c r="F24" s="48">
        <v>396.14</v>
      </c>
      <c r="G24" s="43">
        <f t="shared" si="2"/>
        <v>9.5310907237513565E-3</v>
      </c>
      <c r="H24" s="48">
        <v>467.05</v>
      </c>
      <c r="I24" s="43">
        <f t="shared" si="3"/>
        <v>9.5540712880703982E-3</v>
      </c>
      <c r="J24" s="1"/>
      <c r="K24" s="1"/>
      <c r="L24" s="1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x14ac:dyDescent="0.2">
      <c r="A25" s="41">
        <v>32871</v>
      </c>
      <c r="B25" s="49">
        <v>379.41</v>
      </c>
      <c r="C25" s="43">
        <f t="shared" si="0"/>
        <v>2.402094410407285E-2</v>
      </c>
      <c r="D25" s="50">
        <v>555.48</v>
      </c>
      <c r="E25" s="43">
        <f t="shared" si="1"/>
        <v>3.8130003433507476E-3</v>
      </c>
      <c r="F25" s="48">
        <v>397.2</v>
      </c>
      <c r="G25" s="43">
        <f t="shared" si="2"/>
        <v>2.6758216792044376E-3</v>
      </c>
      <c r="H25" s="48">
        <v>467.8</v>
      </c>
      <c r="I25" s="43">
        <f t="shared" si="3"/>
        <v>1.6058237876031001E-3</v>
      </c>
      <c r="J25" s="1"/>
      <c r="K25" s="1"/>
      <c r="L25" s="1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x14ac:dyDescent="0.2">
      <c r="A26" s="41">
        <v>32904</v>
      </c>
      <c r="B26" s="49">
        <v>353.94</v>
      </c>
      <c r="C26" s="43">
        <f t="shared" si="0"/>
        <v>-6.7130544793231661E-2</v>
      </c>
      <c r="D26" s="50">
        <v>506.95</v>
      </c>
      <c r="E26" s="43">
        <f t="shared" si="1"/>
        <v>-8.7365881759919439E-2</v>
      </c>
      <c r="F26" s="48">
        <v>392.48</v>
      </c>
      <c r="G26" s="43">
        <f t="shared" si="2"/>
        <v>-1.1883182275931437E-2</v>
      </c>
      <c r="H26" s="48">
        <v>460.81</v>
      </c>
      <c r="I26" s="43">
        <f t="shared" si="3"/>
        <v>-1.4942283026934566E-2</v>
      </c>
      <c r="J26" s="1"/>
      <c r="K26" s="1"/>
      <c r="L26" s="1"/>
      <c r="M26" s="12" t="s">
        <v>45</v>
      </c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x14ac:dyDescent="0.2">
      <c r="A27" s="41">
        <v>32932</v>
      </c>
      <c r="B27" s="49">
        <v>358.5</v>
      </c>
      <c r="C27" s="43">
        <f t="shared" si="0"/>
        <v>1.2883539582980275E-2</v>
      </c>
      <c r="D27" s="50">
        <v>522.69000000000005</v>
      </c>
      <c r="E27" s="43">
        <f t="shared" si="1"/>
        <v>3.1048426866554957E-2</v>
      </c>
      <c r="F27" s="48">
        <v>393.75</v>
      </c>
      <c r="G27" s="43">
        <f t="shared" si="2"/>
        <v>3.2358336730533566E-3</v>
      </c>
      <c r="H27" s="48">
        <v>461.62</v>
      </c>
      <c r="I27" s="43">
        <f t="shared" si="3"/>
        <v>1.7577743538552681E-3</v>
      </c>
      <c r="J27" s="1"/>
      <c r="K27" s="1"/>
      <c r="L27" s="1"/>
      <c r="M27" s="45" t="s">
        <v>41</v>
      </c>
      <c r="N27" s="12">
        <v>0.2</v>
      </c>
      <c r="R27" s="7" t="s">
        <v>28</v>
      </c>
      <c r="S27" s="21">
        <f>MIN(T38:T67)</f>
        <v>5.397705951472191E-3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x14ac:dyDescent="0.2">
      <c r="A28" s="41">
        <v>32962</v>
      </c>
      <c r="B28" s="49">
        <v>368</v>
      </c>
      <c r="C28" s="43">
        <f t="shared" si="0"/>
        <v>2.6499302649930279E-2</v>
      </c>
      <c r="D28" s="50">
        <v>543.02</v>
      </c>
      <c r="E28" s="43">
        <f t="shared" si="1"/>
        <v>3.88949472918938E-2</v>
      </c>
      <c r="F28" s="48">
        <v>394.04</v>
      </c>
      <c r="G28" s="43">
        <f t="shared" si="2"/>
        <v>7.3650793650803514E-4</v>
      </c>
      <c r="H28" s="48">
        <v>461.47</v>
      </c>
      <c r="I28" s="43">
        <f t="shared" si="3"/>
        <v>-3.2494259347515264E-4</v>
      </c>
      <c r="J28" s="1"/>
      <c r="K28" s="1"/>
      <c r="L28" s="1"/>
      <c r="M28" s="45" t="s">
        <v>42</v>
      </c>
      <c r="N28" s="12">
        <v>0.4</v>
      </c>
      <c r="R28" s="7" t="s">
        <v>29</v>
      </c>
      <c r="S28" s="21">
        <f>MAX(T38:T67)</f>
        <v>9.0919407149874145E-3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x14ac:dyDescent="0.2">
      <c r="A29" s="41">
        <v>32993</v>
      </c>
      <c r="B29" s="49">
        <v>358.81</v>
      </c>
      <c r="C29" s="43">
        <f t="shared" si="0"/>
        <v>-2.4972826086956501E-2</v>
      </c>
      <c r="D29" s="50">
        <v>525.29</v>
      </c>
      <c r="E29" s="43">
        <f t="shared" si="1"/>
        <v>-3.265073109646055E-2</v>
      </c>
      <c r="F29" s="48">
        <v>390.43</v>
      </c>
      <c r="G29" s="43">
        <f t="shared" si="2"/>
        <v>-9.1615064460460749E-3</v>
      </c>
      <c r="H29" s="48">
        <v>457.23</v>
      </c>
      <c r="I29" s="43">
        <f t="shared" si="3"/>
        <v>-9.1880295577178028E-3</v>
      </c>
      <c r="J29" s="1"/>
      <c r="K29" s="1"/>
      <c r="L29" s="1"/>
      <c r="M29" s="45" t="s">
        <v>43</v>
      </c>
      <c r="N29" s="12">
        <v>-0.3</v>
      </c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x14ac:dyDescent="0.2">
      <c r="A30" s="41">
        <v>33024</v>
      </c>
      <c r="B30" s="49">
        <v>393.8</v>
      </c>
      <c r="C30" s="43">
        <f t="shared" si="0"/>
        <v>9.7516791616733212E-2</v>
      </c>
      <c r="D30" s="50">
        <v>562.47</v>
      </c>
      <c r="E30" s="43">
        <f t="shared" si="1"/>
        <v>7.0779950122789481E-2</v>
      </c>
      <c r="F30" s="48">
        <v>401.99</v>
      </c>
      <c r="G30" s="43">
        <f t="shared" si="2"/>
        <v>2.9608380503547416E-2</v>
      </c>
      <c r="H30" s="48">
        <v>470.09</v>
      </c>
      <c r="I30" s="43">
        <f t="shared" si="3"/>
        <v>2.8125888502504193E-2</v>
      </c>
      <c r="J30" s="1"/>
      <c r="K30" s="1"/>
      <c r="L30" s="1"/>
      <c r="M30" s="45" t="s">
        <v>44</v>
      </c>
      <c r="N30" s="12">
        <v>0.1</v>
      </c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x14ac:dyDescent="0.2">
      <c r="A31" s="41">
        <v>33053</v>
      </c>
      <c r="B31" s="49">
        <v>391.14</v>
      </c>
      <c r="C31" s="43">
        <f t="shared" si="0"/>
        <v>-6.7546978161503457E-3</v>
      </c>
      <c r="D31" s="50">
        <v>563.61</v>
      </c>
      <c r="E31" s="43">
        <f t="shared" si="1"/>
        <v>2.0267747613205156E-3</v>
      </c>
      <c r="F31" s="48">
        <v>408.44</v>
      </c>
      <c r="G31" s="43">
        <f t="shared" si="2"/>
        <v>1.6045175253115662E-2</v>
      </c>
      <c r="H31" s="48">
        <v>477.54</v>
      </c>
      <c r="I31" s="43">
        <f t="shared" si="3"/>
        <v>1.5848029100810512E-2</v>
      </c>
      <c r="J31" s="1"/>
      <c r="K31" s="1"/>
      <c r="L31" s="1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x14ac:dyDescent="0.2">
      <c r="A32" s="41">
        <v>33085</v>
      </c>
      <c r="B32" s="49">
        <v>389.89</v>
      </c>
      <c r="C32" s="43">
        <f t="shared" si="0"/>
        <v>-3.195786674847878E-3</v>
      </c>
      <c r="D32" s="50">
        <v>538.82000000000005</v>
      </c>
      <c r="E32" s="43">
        <f t="shared" si="1"/>
        <v>-4.3984315395397489E-2</v>
      </c>
      <c r="F32" s="48">
        <v>414.09</v>
      </c>
      <c r="G32" s="43">
        <f t="shared" si="2"/>
        <v>1.383312114386448E-2</v>
      </c>
      <c r="H32" s="48">
        <v>483.59</v>
      </c>
      <c r="I32" s="43">
        <f t="shared" si="3"/>
        <v>1.2669095782552153E-2</v>
      </c>
      <c r="J32" s="1"/>
      <c r="K32" s="1"/>
      <c r="L32" s="1"/>
      <c r="T32" s="3"/>
      <c r="U32" s="3"/>
      <c r="V32" s="3"/>
      <c r="W32" s="3" t="s">
        <v>26</v>
      </c>
      <c r="X32" s="3"/>
      <c r="Y32" s="3"/>
      <c r="Z32" s="3"/>
      <c r="AA32" s="3"/>
      <c r="AB32" s="3"/>
      <c r="AC32" s="3"/>
      <c r="AD32" s="3"/>
      <c r="AE32" s="3"/>
    </row>
    <row r="33" spans="1:31" x14ac:dyDescent="0.2">
      <c r="A33" s="41">
        <v>33116</v>
      </c>
      <c r="B33" s="49">
        <v>354.65</v>
      </c>
      <c r="C33" s="43">
        <f t="shared" si="0"/>
        <v>-9.0384467413885949E-2</v>
      </c>
      <c r="D33" s="50">
        <v>467.06</v>
      </c>
      <c r="E33" s="43">
        <f t="shared" si="1"/>
        <v>-0.13317991165881005</v>
      </c>
      <c r="F33" s="48">
        <v>408.56</v>
      </c>
      <c r="G33" s="43">
        <f t="shared" si="2"/>
        <v>-1.3354584752106935E-2</v>
      </c>
      <c r="H33" s="48">
        <v>476.63</v>
      </c>
      <c r="I33" s="43">
        <f t="shared" si="3"/>
        <v>-1.4392357162058778E-2</v>
      </c>
      <c r="J33" s="1"/>
      <c r="K33" s="1"/>
      <c r="L33" s="1"/>
      <c r="M33" s="23" t="s">
        <v>13</v>
      </c>
      <c r="N33" s="24">
        <f>SUMPRODUCT(N14:N17, N27:N30)</f>
        <v>4.7097623925207435E-3</v>
      </c>
      <c r="T33" s="3"/>
      <c r="U33" s="3"/>
      <c r="V33" s="3"/>
      <c r="W33" s="3" t="s">
        <v>27</v>
      </c>
      <c r="X33" s="3"/>
      <c r="Y33" s="3"/>
      <c r="Z33" s="3"/>
      <c r="AA33" s="3"/>
      <c r="AB33" s="3"/>
      <c r="AC33" s="3"/>
      <c r="AD33" s="3"/>
      <c r="AE33" s="3"/>
    </row>
    <row r="34" spans="1:31" x14ac:dyDescent="0.2">
      <c r="A34" s="41">
        <v>33144</v>
      </c>
      <c r="B34" s="49">
        <v>337.39</v>
      </c>
      <c r="C34" s="43">
        <f t="shared" si="0"/>
        <v>-4.8667700549837822E-2</v>
      </c>
      <c r="D34" s="50">
        <v>425.73</v>
      </c>
      <c r="E34" s="43">
        <f t="shared" si="1"/>
        <v>-8.8489701537275645E-2</v>
      </c>
      <c r="F34" s="48">
        <v>411.94</v>
      </c>
      <c r="G34" s="43">
        <f t="shared" si="2"/>
        <v>8.2729586841590042E-3</v>
      </c>
      <c r="H34" s="48">
        <v>481.21</v>
      </c>
      <c r="I34" s="43">
        <f t="shared" si="3"/>
        <v>9.6091307722971919E-3</v>
      </c>
      <c r="J34" s="1"/>
      <c r="K34" s="1"/>
      <c r="L34" s="1"/>
      <c r="M34" s="23" t="s">
        <v>14</v>
      </c>
      <c r="N34" s="24">
        <f t="array" ref="N34">SQRT(MMULT(MMULT(TRANSPOSE(N27:N30), N4:Q7), N27:N30))</f>
        <v>2.7873146179524841E-2</v>
      </c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x14ac:dyDescent="0.2">
      <c r="A35" s="41">
        <v>33177</v>
      </c>
      <c r="B35" s="49">
        <v>335.95</v>
      </c>
      <c r="C35" s="43">
        <f t="shared" si="0"/>
        <v>-4.268057737336628E-3</v>
      </c>
      <c r="D35" s="50">
        <v>399.74</v>
      </c>
      <c r="E35" s="43">
        <f t="shared" si="1"/>
        <v>-6.1048082117774238E-2</v>
      </c>
      <c r="F35" s="48">
        <v>417.17</v>
      </c>
      <c r="G35" s="43">
        <f t="shared" si="2"/>
        <v>1.2696023692770897E-2</v>
      </c>
      <c r="H35" s="48">
        <v>489.14</v>
      </c>
      <c r="I35" s="43">
        <f t="shared" si="3"/>
        <v>1.6479291785291172E-2</v>
      </c>
      <c r="J35" s="1"/>
      <c r="K35" s="1"/>
      <c r="L35" s="1"/>
      <c r="N35" s="28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x14ac:dyDescent="0.2">
      <c r="A36" s="41">
        <v>33207</v>
      </c>
      <c r="B36" s="49">
        <v>357.67</v>
      </c>
      <c r="C36" s="43">
        <f t="shared" si="0"/>
        <v>6.4652478047328543E-2</v>
      </c>
      <c r="D36" s="50">
        <v>430.22</v>
      </c>
      <c r="E36" s="43">
        <f t="shared" si="1"/>
        <v>7.6249562215439992E-2</v>
      </c>
      <c r="F36" s="48">
        <v>426.15</v>
      </c>
      <c r="G36" s="43">
        <f t="shared" si="2"/>
        <v>2.1525996596111874E-2</v>
      </c>
      <c r="H36" s="48">
        <v>499.97</v>
      </c>
      <c r="I36" s="43">
        <f t="shared" si="3"/>
        <v>2.2140900355726467E-2</v>
      </c>
      <c r="J36" s="1"/>
      <c r="K36" s="1"/>
      <c r="L36" s="1"/>
      <c r="R36" s="7" t="s">
        <v>23</v>
      </c>
      <c r="S36" s="3">
        <v>30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x14ac:dyDescent="0.2">
      <c r="A37" s="41">
        <v>33238</v>
      </c>
      <c r="B37" s="49">
        <v>367.63</v>
      </c>
      <c r="C37" s="43">
        <f t="shared" si="0"/>
        <v>2.7846897978583529E-2</v>
      </c>
      <c r="D37" s="50">
        <v>447.29</v>
      </c>
      <c r="E37" s="43">
        <f t="shared" si="1"/>
        <v>3.9677374366603013E-2</v>
      </c>
      <c r="F37" s="48">
        <v>432.79</v>
      </c>
      <c r="G37" s="43">
        <f t="shared" si="2"/>
        <v>1.5581368062888679E-2</v>
      </c>
      <c r="H37" s="48">
        <v>507.75</v>
      </c>
      <c r="I37" s="43">
        <f t="shared" si="3"/>
        <v>1.5560933656019404E-2</v>
      </c>
      <c r="J37" s="1"/>
      <c r="K37" s="1"/>
      <c r="L37" s="1"/>
      <c r="M37" s="51" t="s">
        <v>41</v>
      </c>
      <c r="N37" s="51" t="s">
        <v>42</v>
      </c>
      <c r="O37" s="51" t="s">
        <v>43</v>
      </c>
      <c r="P37" s="51" t="s">
        <v>44</v>
      </c>
      <c r="Q37" s="30"/>
      <c r="R37" s="14" t="s">
        <v>18</v>
      </c>
      <c r="S37" s="15" t="s">
        <v>17</v>
      </c>
      <c r="T37" s="15" t="s">
        <v>16</v>
      </c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x14ac:dyDescent="0.2">
      <c r="A38" s="41">
        <v>33269</v>
      </c>
      <c r="B38" s="49">
        <v>383.64</v>
      </c>
      <c r="C38" s="43">
        <f t="shared" si="0"/>
        <v>4.3549220683839707E-2</v>
      </c>
      <c r="D38" s="50">
        <v>487.74</v>
      </c>
      <c r="E38" s="43">
        <f t="shared" si="1"/>
        <v>9.0433499519327443E-2</v>
      </c>
      <c r="F38" s="48">
        <v>438.14</v>
      </c>
      <c r="G38" s="43">
        <f t="shared" si="2"/>
        <v>1.236165345779705E-2</v>
      </c>
      <c r="H38" s="48">
        <v>513.19000000000005</v>
      </c>
      <c r="I38" s="43">
        <f t="shared" si="3"/>
        <v>1.0713934022648974E-2</v>
      </c>
      <c r="J38" s="1"/>
      <c r="K38" s="1"/>
      <c r="L38" s="1"/>
      <c r="M38" s="35">
        <v>0.05</v>
      </c>
      <c r="N38" s="35">
        <v>0.05</v>
      </c>
      <c r="O38" s="35">
        <v>0.4</v>
      </c>
      <c r="P38" s="35">
        <v>0.5</v>
      </c>
      <c r="Q38" s="35"/>
      <c r="R38" s="20">
        <v>5.397705951472191E-3</v>
      </c>
      <c r="S38" s="21">
        <v>1.1139824073958865E-2</v>
      </c>
      <c r="T38" s="18">
        <v>5.397705951472191E-3</v>
      </c>
      <c r="U38" s="18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x14ac:dyDescent="0.2">
      <c r="A39" s="41">
        <v>33297</v>
      </c>
      <c r="B39" s="49">
        <v>411.08</v>
      </c>
      <c r="C39" s="43">
        <f t="shared" si="0"/>
        <v>7.1525388384944266E-2</v>
      </c>
      <c r="D39" s="50">
        <v>542.13</v>
      </c>
      <c r="E39" s="43">
        <f t="shared" si="1"/>
        <v>0.11151433140607692</v>
      </c>
      <c r="F39" s="48">
        <v>441.88</v>
      </c>
      <c r="G39" s="43">
        <f t="shared" si="2"/>
        <v>8.5360843565984723E-3</v>
      </c>
      <c r="H39" s="48">
        <v>515.92999999999995</v>
      </c>
      <c r="I39" s="43">
        <f t="shared" si="3"/>
        <v>5.3391531401623116E-3</v>
      </c>
      <c r="J39" s="1"/>
      <c r="K39" s="1"/>
      <c r="L39" s="1"/>
      <c r="M39" s="35">
        <v>6.5057705566982219E-2</v>
      </c>
      <c r="N39" s="35">
        <v>5.6739117122157803E-2</v>
      </c>
      <c r="O39" s="35">
        <v>0.5</v>
      </c>
      <c r="P39" s="35">
        <v>0.37820317731085995</v>
      </c>
      <c r="Q39" s="35"/>
      <c r="R39" s="20">
        <v>5.5250933571106466E-3</v>
      </c>
      <c r="S39" s="21">
        <v>1.119453086112151E-2</v>
      </c>
      <c r="T39" s="18">
        <v>5.5250933593460182E-3</v>
      </c>
      <c r="U39" s="18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x14ac:dyDescent="0.2">
      <c r="A40" s="41">
        <v>33326</v>
      </c>
      <c r="B40" s="49">
        <v>421.03</v>
      </c>
      <c r="C40" s="43">
        <f t="shared" si="0"/>
        <v>2.4204534397197497E-2</v>
      </c>
      <c r="D40" s="50">
        <v>580.29</v>
      </c>
      <c r="E40" s="43">
        <f t="shared" si="1"/>
        <v>7.0389021083503867E-2</v>
      </c>
      <c r="F40" s="48">
        <v>444.92</v>
      </c>
      <c r="G40" s="43">
        <f t="shared" si="2"/>
        <v>6.8796958450259016E-3</v>
      </c>
      <c r="H40" s="48">
        <v>518.53</v>
      </c>
      <c r="I40" s="43">
        <f t="shared" si="3"/>
        <v>5.0394433353362356E-3</v>
      </c>
      <c r="J40" s="1"/>
      <c r="K40" s="1"/>
      <c r="L40" s="1"/>
      <c r="M40" s="35">
        <v>9.3748262858093054E-2</v>
      </c>
      <c r="N40" s="35">
        <v>5.6073472929939416E-2</v>
      </c>
      <c r="O40" s="35">
        <v>0.5</v>
      </c>
      <c r="P40" s="35">
        <v>0.35017826421196752</v>
      </c>
      <c r="Q40" s="35"/>
      <c r="R40" s="20">
        <v>5.6524807627491031E-3</v>
      </c>
      <c r="S40" s="21">
        <v>1.1511333050158192E-2</v>
      </c>
      <c r="T40" s="18">
        <v>5.6524807649580159E-3</v>
      </c>
      <c r="U40" s="18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x14ac:dyDescent="0.2">
      <c r="A41" s="41">
        <v>33358</v>
      </c>
      <c r="B41" s="49">
        <v>422.03</v>
      </c>
      <c r="C41" s="43">
        <f t="shared" si="0"/>
        <v>2.3751276631118756E-3</v>
      </c>
      <c r="D41" s="50">
        <v>578.83000000000004</v>
      </c>
      <c r="E41" s="43">
        <f t="shared" si="1"/>
        <v>-2.5159833876163828E-3</v>
      </c>
      <c r="F41" s="48">
        <v>449.74</v>
      </c>
      <c r="G41" s="43">
        <f t="shared" si="2"/>
        <v>1.0833408253169141E-2</v>
      </c>
      <c r="H41" s="48">
        <v>524.23</v>
      </c>
      <c r="I41" s="43">
        <f t="shared" si="3"/>
        <v>1.0992613734981616E-2</v>
      </c>
      <c r="J41" s="1"/>
      <c r="K41" s="1"/>
      <c r="L41" s="1"/>
      <c r="M41" s="35">
        <v>0.12256742022400752</v>
      </c>
      <c r="N41" s="35">
        <v>5.5404845130226282E-2</v>
      </c>
      <c r="O41" s="35">
        <v>0.5</v>
      </c>
      <c r="P41" s="35">
        <v>0.32202773464576617</v>
      </c>
      <c r="Q41" s="35"/>
      <c r="R41" s="20">
        <v>5.7798681683875587E-3</v>
      </c>
      <c r="S41" s="21">
        <v>1.194538748979216E-2</v>
      </c>
      <c r="T41" s="18">
        <v>5.7804391609593397E-3</v>
      </c>
      <c r="U41" s="18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x14ac:dyDescent="0.2">
      <c r="A42" s="41">
        <v>33389</v>
      </c>
      <c r="B42" s="49">
        <v>440.24</v>
      </c>
      <c r="C42" s="43">
        <f t="shared" si="0"/>
        <v>4.3148591332369923E-2</v>
      </c>
      <c r="D42" s="50">
        <v>606.41999999999996</v>
      </c>
      <c r="E42" s="43">
        <f t="shared" si="1"/>
        <v>4.7665117564742454E-2</v>
      </c>
      <c r="F42" s="48">
        <v>452.37</v>
      </c>
      <c r="G42" s="43">
        <f t="shared" si="2"/>
        <v>5.8478231867300501E-3</v>
      </c>
      <c r="H42" s="48">
        <v>526.17999999999995</v>
      </c>
      <c r="I42" s="43">
        <f t="shared" si="3"/>
        <v>3.7197413349101538E-3</v>
      </c>
      <c r="J42" s="1"/>
      <c r="K42" s="1"/>
      <c r="L42" s="1"/>
      <c r="M42" s="35">
        <v>0.15112937740481008</v>
      </c>
      <c r="N42" s="35">
        <v>5.4742184587531301E-2</v>
      </c>
      <c r="O42" s="35">
        <v>0.5</v>
      </c>
      <c r="P42" s="35">
        <v>0.29412843800765864</v>
      </c>
      <c r="Q42" s="35"/>
      <c r="R42" s="20">
        <v>5.9072555740260152E-3</v>
      </c>
      <c r="S42" s="21">
        <v>1.2478219492481566E-2</v>
      </c>
      <c r="T42" s="18">
        <v>5.9072555762250522E-3</v>
      </c>
      <c r="U42" s="18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x14ac:dyDescent="0.2">
      <c r="A43" s="41">
        <v>33417</v>
      </c>
      <c r="B43" s="49">
        <v>420.07</v>
      </c>
      <c r="C43" s="43">
        <f t="shared" si="0"/>
        <v>-4.5815918589860116E-2</v>
      </c>
      <c r="D43" s="50">
        <v>571.08000000000004</v>
      </c>
      <c r="E43" s="43">
        <f t="shared" si="1"/>
        <v>-5.8276442069852497E-2</v>
      </c>
      <c r="F43" s="48">
        <v>452.14</v>
      </c>
      <c r="G43" s="43">
        <f t="shared" si="2"/>
        <v>-5.0843336207095913E-4</v>
      </c>
      <c r="H43" s="48">
        <v>525.39</v>
      </c>
      <c r="I43" s="43">
        <f t="shared" si="3"/>
        <v>-1.5013873579382553E-3</v>
      </c>
      <c r="J43" s="1"/>
      <c r="K43" s="1"/>
      <c r="L43" s="1"/>
      <c r="M43" s="35">
        <v>0.17981993469397287</v>
      </c>
      <c r="N43" s="35">
        <v>5.4076540404594788E-2</v>
      </c>
      <c r="O43" s="35">
        <v>0.5</v>
      </c>
      <c r="P43" s="35">
        <v>0.2661035249014323</v>
      </c>
      <c r="Q43" s="35"/>
      <c r="R43" s="20">
        <v>6.0346429796644709E-3</v>
      </c>
      <c r="S43" s="21">
        <v>1.3103734865427935E-2</v>
      </c>
      <c r="T43" s="18">
        <v>6.0346429818733862E-3</v>
      </c>
      <c r="U43" s="18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x14ac:dyDescent="0.2">
      <c r="A44" s="41">
        <v>33450</v>
      </c>
      <c r="B44" s="49">
        <v>439.65</v>
      </c>
      <c r="C44" s="43">
        <f t="shared" si="0"/>
        <v>4.6611279072535483E-2</v>
      </c>
      <c r="D44" s="50">
        <v>591.12</v>
      </c>
      <c r="E44" s="43">
        <f t="shared" si="1"/>
        <v>3.5091405757512018E-2</v>
      </c>
      <c r="F44" s="48">
        <v>458.41</v>
      </c>
      <c r="G44" s="43">
        <f t="shared" si="2"/>
        <v>1.3867386207811805E-2</v>
      </c>
      <c r="H44" s="48">
        <v>531.54</v>
      </c>
      <c r="I44" s="43">
        <f t="shared" si="3"/>
        <v>1.1705590133044064E-2</v>
      </c>
      <c r="J44" s="1"/>
      <c r="K44" s="1"/>
      <c r="L44" s="1"/>
      <c r="M44" s="35">
        <v>0.20851049198514385</v>
      </c>
      <c r="N44" s="35">
        <v>5.3410896217753606E-2</v>
      </c>
      <c r="O44" s="35">
        <v>0.5</v>
      </c>
      <c r="P44" s="35">
        <v>0.23807861179710255</v>
      </c>
      <c r="Q44" s="35"/>
      <c r="R44" s="20">
        <v>6.1620303853029273E-3</v>
      </c>
      <c r="S44" s="21">
        <v>1.3807461240902522E-2</v>
      </c>
      <c r="T44" s="18">
        <v>6.1620303875118462E-3</v>
      </c>
      <c r="U44" s="18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x14ac:dyDescent="0.2">
      <c r="A45" s="41">
        <v>33480</v>
      </c>
      <c r="B45" s="49">
        <v>450.06</v>
      </c>
      <c r="C45" s="43">
        <f t="shared" si="0"/>
        <v>2.3677925622654472E-2</v>
      </c>
      <c r="D45" s="50">
        <v>613</v>
      </c>
      <c r="E45" s="43">
        <f t="shared" si="1"/>
        <v>3.7014480985248399E-2</v>
      </c>
      <c r="F45" s="48">
        <v>468.33</v>
      </c>
      <c r="G45" s="43">
        <f t="shared" si="2"/>
        <v>2.1640016579044907E-2</v>
      </c>
      <c r="H45" s="48">
        <v>543.85</v>
      </c>
      <c r="I45" s="43">
        <f t="shared" si="3"/>
        <v>2.3159122549573086E-2</v>
      </c>
      <c r="J45" s="1"/>
      <c r="K45" s="1"/>
      <c r="L45" s="1"/>
      <c r="M45" s="35">
        <v>0.23720104957672525</v>
      </c>
      <c r="N45" s="35">
        <v>5.2745251750076425E-2</v>
      </c>
      <c r="O45" s="35">
        <v>0.5</v>
      </c>
      <c r="P45" s="35">
        <v>0.21005369867319834</v>
      </c>
      <c r="Q45" s="35"/>
      <c r="R45" s="20">
        <v>6.289417790941383E-3</v>
      </c>
      <c r="S45" s="21">
        <v>1.4578076594340317E-2</v>
      </c>
      <c r="T45" s="18">
        <v>6.2894177931502974E-3</v>
      </c>
      <c r="U45" s="18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x14ac:dyDescent="0.2">
      <c r="A46" s="41">
        <v>33511</v>
      </c>
      <c r="B46" s="49">
        <v>442.53</v>
      </c>
      <c r="C46" s="43">
        <f t="shared" si="0"/>
        <v>-1.6731102519664143E-2</v>
      </c>
      <c r="D46" s="50">
        <v>617.79999999999995</v>
      </c>
      <c r="E46" s="43">
        <f t="shared" si="1"/>
        <v>7.8303425774877145E-3</v>
      </c>
      <c r="F46" s="48">
        <v>477.82</v>
      </c>
      <c r="G46" s="43">
        <f t="shared" si="2"/>
        <v>2.0263489419853453E-2</v>
      </c>
      <c r="H46" s="48">
        <v>555.30999999999995</v>
      </c>
      <c r="I46" s="43">
        <f t="shared" si="3"/>
        <v>2.1071986761055372E-2</v>
      </c>
      <c r="J46" s="1"/>
      <c r="K46" s="1"/>
      <c r="L46" s="1"/>
      <c r="M46" s="35">
        <v>0.26603617337644231</v>
      </c>
      <c r="N46" s="35">
        <v>5.2076253901653102E-2</v>
      </c>
      <c r="O46" s="35">
        <v>0.5</v>
      </c>
      <c r="P46" s="35">
        <v>0.18188757272190459</v>
      </c>
      <c r="Q46" s="35"/>
      <c r="R46" s="20">
        <v>6.4168051965798386E-3</v>
      </c>
      <c r="S46" s="21">
        <v>1.5409844654020758E-2</v>
      </c>
      <c r="T46" s="18">
        <v>6.4174470827360955E-3</v>
      </c>
      <c r="U46" s="18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x14ac:dyDescent="0.2">
      <c r="A47" s="41">
        <v>33542</v>
      </c>
      <c r="B47" s="49">
        <v>448.48</v>
      </c>
      <c r="C47" s="43">
        <f t="shared" si="0"/>
        <v>1.3445416129979959E-2</v>
      </c>
      <c r="D47" s="50">
        <v>634.14</v>
      </c>
      <c r="E47" s="43">
        <f t="shared" si="1"/>
        <v>2.6448688896082873E-2</v>
      </c>
      <c r="F47" s="48">
        <v>483.14</v>
      </c>
      <c r="G47" s="43">
        <f t="shared" si="2"/>
        <v>1.1133899794901758E-2</v>
      </c>
      <c r="H47" s="48">
        <v>560.24</v>
      </c>
      <c r="I47" s="43">
        <f t="shared" si="3"/>
        <v>8.8779240424268213E-3</v>
      </c>
      <c r="J47" s="1"/>
      <c r="K47" s="1"/>
      <c r="L47" s="1"/>
      <c r="M47" s="35">
        <v>0.29458216390143577</v>
      </c>
      <c r="N47" s="35">
        <v>5.1413963614955815E-2</v>
      </c>
      <c r="O47" s="35">
        <v>0.5</v>
      </c>
      <c r="P47" s="35">
        <v>0.15400387248360836</v>
      </c>
      <c r="Q47" s="35"/>
      <c r="R47" s="20">
        <v>6.5441926022182951E-3</v>
      </c>
      <c r="S47" s="21">
        <v>1.6281204441265084E-2</v>
      </c>
      <c r="T47" s="18">
        <v>6.5441926044161065E-3</v>
      </c>
      <c r="U47" s="18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x14ac:dyDescent="0.2">
      <c r="A48" s="41">
        <v>33571</v>
      </c>
      <c r="B48" s="49">
        <v>430.41</v>
      </c>
      <c r="C48" s="43">
        <f t="shared" si="0"/>
        <v>-4.0291651801641071E-2</v>
      </c>
      <c r="D48" s="50">
        <v>604.80999999999995</v>
      </c>
      <c r="E48" s="43">
        <f t="shared" si="1"/>
        <v>-4.625161636231756E-2</v>
      </c>
      <c r="F48" s="48">
        <v>487.57</v>
      </c>
      <c r="G48" s="43">
        <f t="shared" si="2"/>
        <v>9.169184915345463E-3</v>
      </c>
      <c r="H48" s="48">
        <v>565.85</v>
      </c>
      <c r="I48" s="43">
        <f t="shared" si="3"/>
        <v>1.0013565614736653E-2</v>
      </c>
      <c r="J48" s="1"/>
      <c r="K48" s="1"/>
      <c r="L48" s="1"/>
      <c r="M48" s="35">
        <v>0.32327271254580664</v>
      </c>
      <c r="N48" s="35">
        <v>5.0748327513721041E-2</v>
      </c>
      <c r="O48" s="35">
        <v>0.5</v>
      </c>
      <c r="P48" s="35">
        <v>0.12597895994047237</v>
      </c>
      <c r="Q48" s="35"/>
      <c r="R48" s="20">
        <v>6.6715800078567507E-3</v>
      </c>
      <c r="S48" s="21">
        <v>1.719769134679858E-2</v>
      </c>
      <c r="T48" s="18">
        <v>6.6715800100656652E-3</v>
      </c>
      <c r="U48" s="18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x14ac:dyDescent="0.2">
      <c r="A49" s="41">
        <v>33603</v>
      </c>
      <c r="B49" s="49">
        <v>479.63</v>
      </c>
      <c r="C49" s="43">
        <f t="shared" si="0"/>
        <v>0.11435607908738166</v>
      </c>
      <c r="D49" s="50">
        <v>653.24</v>
      </c>
      <c r="E49" s="43">
        <f t="shared" si="1"/>
        <v>8.0074734214050869E-2</v>
      </c>
      <c r="F49" s="48">
        <v>502.05</v>
      </c>
      <c r="G49" s="43">
        <f t="shared" si="2"/>
        <v>2.9698299731320654E-2</v>
      </c>
      <c r="H49" s="48">
        <v>585.4</v>
      </c>
      <c r="I49" s="43">
        <f t="shared" si="3"/>
        <v>3.4549792347795316E-2</v>
      </c>
      <c r="J49" s="1"/>
      <c r="K49" s="1"/>
      <c r="L49" s="1"/>
      <c r="M49" s="35">
        <v>0.35211742533563822</v>
      </c>
      <c r="N49" s="35">
        <v>5.0079099064138301E-2</v>
      </c>
      <c r="O49" s="35">
        <v>0.5</v>
      </c>
      <c r="P49" s="35">
        <v>9.7803475600223511E-2</v>
      </c>
      <c r="Q49" s="35"/>
      <c r="R49" s="20">
        <v>6.7989674134952063E-3</v>
      </c>
      <c r="S49" s="21">
        <v>1.8154016840168766E-2</v>
      </c>
      <c r="T49" s="18">
        <v>6.7996518356217006E-3</v>
      </c>
      <c r="U49" s="18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x14ac:dyDescent="0.2">
      <c r="A50" s="41">
        <v>33634</v>
      </c>
      <c r="B50" s="49">
        <v>470.7</v>
      </c>
      <c r="C50" s="43">
        <f t="shared" si="0"/>
        <v>-1.8618518441298471E-2</v>
      </c>
      <c r="D50" s="50">
        <v>706.17</v>
      </c>
      <c r="E50" s="43">
        <f t="shared" si="1"/>
        <v>8.1026881391219163E-2</v>
      </c>
      <c r="F50" s="48">
        <v>495.22</v>
      </c>
      <c r="G50" s="43">
        <f t="shared" si="2"/>
        <v>-1.3604222686983358E-2</v>
      </c>
      <c r="H50" s="48">
        <v>576.03</v>
      </c>
      <c r="I50" s="43">
        <f t="shared" si="3"/>
        <v>-1.6006149641270895E-2</v>
      </c>
      <c r="J50" s="1"/>
      <c r="K50" s="1"/>
      <c r="L50" s="1"/>
      <c r="M50" s="35">
        <v>0.38003022923617624</v>
      </c>
      <c r="N50" s="35">
        <v>0.05</v>
      </c>
      <c r="O50" s="35">
        <v>0.5</v>
      </c>
      <c r="P50" s="35">
        <v>6.9969770763823824E-2</v>
      </c>
      <c r="Q50" s="35"/>
      <c r="R50" s="20">
        <v>6.9263548191336628E-3</v>
      </c>
      <c r="S50" s="21">
        <v>1.9129440798834756E-2</v>
      </c>
      <c r="T50" s="18">
        <v>6.926354821242835E-3</v>
      </c>
      <c r="U50" s="18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x14ac:dyDescent="0.2">
      <c r="A51" s="41">
        <v>33662</v>
      </c>
      <c r="B51" s="49">
        <v>476.79</v>
      </c>
      <c r="C51" s="43">
        <f t="shared" si="0"/>
        <v>1.2938177182919119E-2</v>
      </c>
      <c r="D51" s="50">
        <v>726.77</v>
      </c>
      <c r="E51" s="43">
        <f t="shared" si="1"/>
        <v>2.917144596910104E-2</v>
      </c>
      <c r="F51" s="48">
        <v>498.44</v>
      </c>
      <c r="G51" s="43">
        <f t="shared" si="2"/>
        <v>6.5021606558699485E-3</v>
      </c>
      <c r="H51" s="48">
        <v>578.26</v>
      </c>
      <c r="I51" s="43">
        <f t="shared" si="3"/>
        <v>3.8713261462077764E-3</v>
      </c>
      <c r="J51" s="1"/>
      <c r="K51" s="1"/>
      <c r="L51" s="1"/>
      <c r="M51" s="35">
        <v>0.40849390634663607</v>
      </c>
      <c r="N51" s="35">
        <v>0.05</v>
      </c>
      <c r="O51" s="35">
        <v>0.49150609365336395</v>
      </c>
      <c r="P51" s="35">
        <v>5.0000000000000044E-2</v>
      </c>
      <c r="Q51" s="35"/>
      <c r="R51" s="20">
        <v>7.0537422247721185E-3</v>
      </c>
      <c r="S51" s="21">
        <v>2.0139017882697119E-2</v>
      </c>
      <c r="T51" s="18">
        <v>7.0537422248579647E-3</v>
      </c>
      <c r="U51" s="18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x14ac:dyDescent="0.2">
      <c r="A52" s="41">
        <v>33694</v>
      </c>
      <c r="B52" s="49">
        <v>467.52</v>
      </c>
      <c r="C52" s="43">
        <f t="shared" si="0"/>
        <v>-1.9442521864972084E-2</v>
      </c>
      <c r="D52" s="50">
        <v>702.17</v>
      </c>
      <c r="E52" s="43">
        <f t="shared" si="1"/>
        <v>-3.3848397704913546E-2</v>
      </c>
      <c r="F52" s="48">
        <v>495.63</v>
      </c>
      <c r="G52" s="43">
        <f t="shared" si="2"/>
        <v>-5.6375892785490711E-3</v>
      </c>
      <c r="H52" s="48">
        <v>574.79</v>
      </c>
      <c r="I52" s="43">
        <f t="shared" si="3"/>
        <v>-6.0007609033998488E-3</v>
      </c>
      <c r="J52" s="1"/>
      <c r="K52" s="1"/>
      <c r="L52" s="1"/>
      <c r="M52" s="35">
        <v>0.43816734165851606</v>
      </c>
      <c r="N52" s="35">
        <v>0.05</v>
      </c>
      <c r="O52" s="35">
        <v>0.46183265834148401</v>
      </c>
      <c r="P52" s="35">
        <v>4.9999999999999933E-2</v>
      </c>
      <c r="Q52" s="35"/>
      <c r="R52" s="20">
        <v>7.1811296304105749E-3</v>
      </c>
      <c r="S52" s="21">
        <v>2.1178390377806014E-2</v>
      </c>
      <c r="T52" s="18">
        <v>7.1811296304000443E-3</v>
      </c>
      <c r="U52" s="18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x14ac:dyDescent="0.2">
      <c r="A53" s="41">
        <v>33724</v>
      </c>
      <c r="B53" s="49">
        <v>481.25</v>
      </c>
      <c r="C53" s="43">
        <f t="shared" si="0"/>
        <v>2.9367727583846648E-2</v>
      </c>
      <c r="D53" s="50">
        <v>677.57</v>
      </c>
      <c r="E53" s="43">
        <f t="shared" si="1"/>
        <v>-3.5034250964865898E-2</v>
      </c>
      <c r="F53" s="48">
        <v>499.21</v>
      </c>
      <c r="G53" s="43">
        <f t="shared" si="2"/>
        <v>7.2231301575771401E-3</v>
      </c>
      <c r="H53" s="48">
        <v>578.39</v>
      </c>
      <c r="I53" s="43">
        <f t="shared" si="3"/>
        <v>6.2631569790707609E-3</v>
      </c>
      <c r="J53" s="1"/>
      <c r="K53" s="1"/>
      <c r="L53" s="1"/>
      <c r="M53" s="35">
        <v>0.46784077699284682</v>
      </c>
      <c r="N53" s="35">
        <v>0.05</v>
      </c>
      <c r="O53" s="35">
        <v>0.43215922300715315</v>
      </c>
      <c r="P53" s="35">
        <v>5.0000000000000044E-2</v>
      </c>
      <c r="Q53" s="35"/>
      <c r="R53" s="20">
        <v>7.3085170360490306E-3</v>
      </c>
      <c r="S53" s="21">
        <v>2.2234680492440855E-2</v>
      </c>
      <c r="T53" s="18">
        <v>7.3085170360385051E-3</v>
      </c>
      <c r="U53" s="18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x14ac:dyDescent="0.2">
      <c r="A54" s="41">
        <v>33753</v>
      </c>
      <c r="B54" s="49">
        <v>483.6</v>
      </c>
      <c r="C54" s="43">
        <f t="shared" si="0"/>
        <v>4.8831168831169336E-3</v>
      </c>
      <c r="D54" s="50">
        <v>686.58</v>
      </c>
      <c r="E54" s="43">
        <f t="shared" si="1"/>
        <v>1.3297519075519793E-2</v>
      </c>
      <c r="F54" s="48">
        <v>508.63</v>
      </c>
      <c r="G54" s="43">
        <f t="shared" si="2"/>
        <v>1.8869814306604393E-2</v>
      </c>
      <c r="H54" s="48">
        <v>589.02</v>
      </c>
      <c r="I54" s="43">
        <f t="shared" si="3"/>
        <v>1.8378602672936895E-2</v>
      </c>
      <c r="J54" s="1"/>
      <c r="K54" s="1"/>
      <c r="L54" s="1"/>
      <c r="M54" s="35">
        <v>0.49751421232717719</v>
      </c>
      <c r="N54" s="35">
        <v>0.05</v>
      </c>
      <c r="O54" s="35">
        <v>0.40248578767282284</v>
      </c>
      <c r="P54" s="35">
        <v>4.9999999999999933E-2</v>
      </c>
      <c r="Q54" s="35"/>
      <c r="R54" s="20">
        <v>7.4359044416874871E-3</v>
      </c>
      <c r="S54" s="21">
        <v>2.3305588043788003E-2</v>
      </c>
      <c r="T54" s="18">
        <v>7.4359044416769642E-3</v>
      </c>
      <c r="U54" s="18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x14ac:dyDescent="0.2">
      <c r="A55" s="41">
        <v>33785</v>
      </c>
      <c r="B55" s="49">
        <v>476.41</v>
      </c>
      <c r="C55" s="43">
        <f t="shared" si="0"/>
        <v>-1.4867659222497887E-2</v>
      </c>
      <c r="D55" s="50">
        <v>654.11</v>
      </c>
      <c r="E55" s="43">
        <f t="shared" si="1"/>
        <v>-4.7292376707739892E-2</v>
      </c>
      <c r="F55" s="48">
        <v>515.63</v>
      </c>
      <c r="G55" s="43">
        <f t="shared" si="2"/>
        <v>1.3762459941411231E-2</v>
      </c>
      <c r="H55" s="48">
        <v>597.54999999999995</v>
      </c>
      <c r="I55" s="43">
        <f t="shared" si="3"/>
        <v>1.4481681436963045E-2</v>
      </c>
      <c r="J55" s="1"/>
      <c r="K55" s="1"/>
      <c r="L55" s="1"/>
      <c r="M55" s="35">
        <v>0.5</v>
      </c>
      <c r="N55" s="35">
        <v>7.5316013855112621E-2</v>
      </c>
      <c r="O55" s="35">
        <v>0.3746839861448874</v>
      </c>
      <c r="P55" s="35">
        <v>4.9999999999999933E-2</v>
      </c>
      <c r="Q55" s="35"/>
      <c r="R55" s="20">
        <v>7.5632918473259427E-3</v>
      </c>
      <c r="S55" s="21">
        <v>2.4403381917525883E-2</v>
      </c>
      <c r="T55" s="18">
        <v>7.5632918473479901E-3</v>
      </c>
      <c r="U55" s="18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x14ac:dyDescent="0.2">
      <c r="A56" s="41">
        <v>33816</v>
      </c>
      <c r="B56" s="49">
        <v>495.87</v>
      </c>
      <c r="C56" s="43">
        <f t="shared" si="0"/>
        <v>4.0847169454881316E-2</v>
      </c>
      <c r="D56" s="50">
        <v>676.87</v>
      </c>
      <c r="E56" s="43">
        <f t="shared" si="1"/>
        <v>3.479537080919104E-2</v>
      </c>
      <c r="F56" s="48">
        <v>526.15</v>
      </c>
      <c r="G56" s="43">
        <f t="shared" si="2"/>
        <v>2.0402226402653101E-2</v>
      </c>
      <c r="H56" s="48">
        <v>612.79</v>
      </c>
      <c r="I56" s="43">
        <f t="shared" si="3"/>
        <v>2.5504141912810585E-2</v>
      </c>
      <c r="J56" s="1"/>
      <c r="K56" s="1"/>
      <c r="L56" s="1"/>
      <c r="M56" s="35">
        <v>0.5</v>
      </c>
      <c r="N56" s="35">
        <v>0.10294669044750758</v>
      </c>
      <c r="O56" s="35">
        <v>0.34705330955249247</v>
      </c>
      <c r="P56" s="35">
        <v>4.9999999999999933E-2</v>
      </c>
      <c r="Q56" s="35"/>
      <c r="R56" s="20">
        <v>7.6906792529643983E-3</v>
      </c>
      <c r="S56" s="21">
        <v>2.5541299482703218E-2</v>
      </c>
      <c r="T56" s="18">
        <v>7.690679252986451E-3</v>
      </c>
      <c r="U56" s="18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x14ac:dyDescent="0.2">
      <c r="A57" s="41">
        <v>33847</v>
      </c>
      <c r="B57" s="49">
        <v>485.72</v>
      </c>
      <c r="C57" s="43">
        <f t="shared" si="0"/>
        <v>-2.0469074555831135E-2</v>
      </c>
      <c r="D57" s="50">
        <v>657.77</v>
      </c>
      <c r="E57" s="43">
        <f t="shared" si="1"/>
        <v>-2.8218121648174721E-2</v>
      </c>
      <c r="F57" s="48">
        <v>531.48</v>
      </c>
      <c r="G57" s="43">
        <f t="shared" si="2"/>
        <v>1.0130191010168321E-2</v>
      </c>
      <c r="H57" s="48">
        <v>618.59</v>
      </c>
      <c r="I57" s="43">
        <f t="shared" si="3"/>
        <v>9.4649064116583137E-3</v>
      </c>
      <c r="J57" s="1"/>
      <c r="K57" s="1"/>
      <c r="L57" s="1"/>
      <c r="M57" s="35">
        <v>0.5</v>
      </c>
      <c r="N57" s="35">
        <v>0.13079426976937045</v>
      </c>
      <c r="O57" s="35">
        <v>0.31920573023062959</v>
      </c>
      <c r="P57" s="35">
        <v>4.9999999999999933E-2</v>
      </c>
      <c r="Q57" s="35"/>
      <c r="R57" s="20">
        <v>7.8180666586028548E-3</v>
      </c>
      <c r="S57" s="21">
        <v>2.6723575753115111E-2</v>
      </c>
      <c r="T57" s="18">
        <v>7.8190666586028489E-3</v>
      </c>
      <c r="U57" s="18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x14ac:dyDescent="0.2">
      <c r="A58" s="41">
        <v>33877</v>
      </c>
      <c r="B58" s="49">
        <v>491.43</v>
      </c>
      <c r="C58" s="43">
        <f t="shared" si="0"/>
        <v>1.1755744050069961E-2</v>
      </c>
      <c r="D58" s="50">
        <v>672.94</v>
      </c>
      <c r="E58" s="43">
        <f t="shared" si="1"/>
        <v>2.3062772701704315E-2</v>
      </c>
      <c r="F58" s="48">
        <v>537.78</v>
      </c>
      <c r="G58" s="43">
        <f t="shared" si="2"/>
        <v>1.1853691578234349E-2</v>
      </c>
      <c r="H58" s="48">
        <v>627.61</v>
      </c>
      <c r="I58" s="43">
        <f t="shared" si="3"/>
        <v>1.4581548359979823E-2</v>
      </c>
      <c r="J58" s="1"/>
      <c r="K58" s="1"/>
      <c r="L58" s="1"/>
      <c r="M58" s="35">
        <v>0.5</v>
      </c>
      <c r="N58" s="35">
        <v>0.15842494636176518</v>
      </c>
      <c r="O58" s="35">
        <v>0.29157505363823488</v>
      </c>
      <c r="P58" s="35">
        <v>4.9999999999999933E-2</v>
      </c>
      <c r="Q58" s="35"/>
      <c r="R58" s="20">
        <v>7.9454540642413113E-3</v>
      </c>
      <c r="S58" s="21">
        <v>2.792735281326485E-2</v>
      </c>
      <c r="T58" s="18">
        <v>7.9464540642413088E-3</v>
      </c>
      <c r="U58" s="18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x14ac:dyDescent="0.2">
      <c r="A59" s="41">
        <v>33907</v>
      </c>
      <c r="B59" s="49">
        <v>493.13</v>
      </c>
      <c r="C59" s="43">
        <f t="shared" si="0"/>
        <v>3.4592922694991479E-3</v>
      </c>
      <c r="D59" s="50">
        <v>694.33</v>
      </c>
      <c r="E59" s="43">
        <f t="shared" si="1"/>
        <v>3.1785894730585129E-2</v>
      </c>
      <c r="F59" s="48">
        <v>530.65</v>
      </c>
      <c r="G59" s="43">
        <f t="shared" si="2"/>
        <v>-1.3258209676819455E-2</v>
      </c>
      <c r="H59" s="48">
        <v>618.39</v>
      </c>
      <c r="I59" s="43">
        <f t="shared" si="3"/>
        <v>-1.469065183792484E-2</v>
      </c>
      <c r="J59" s="1"/>
      <c r="K59" s="1"/>
      <c r="L59" s="1"/>
      <c r="M59" s="35">
        <v>0.5</v>
      </c>
      <c r="N59" s="35">
        <v>0.18605562295415992</v>
      </c>
      <c r="O59" s="35">
        <v>0.26394437704584017</v>
      </c>
      <c r="P59" s="35">
        <v>4.9999999999999933E-2</v>
      </c>
      <c r="Q59" s="35"/>
      <c r="R59" s="20">
        <v>8.072841469879766E-3</v>
      </c>
      <c r="S59" s="21">
        <v>2.9157921159748648E-2</v>
      </c>
      <c r="T59" s="18">
        <v>8.0738414698797688E-3</v>
      </c>
      <c r="U59" s="18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x14ac:dyDescent="0.2">
      <c r="A60" s="41">
        <v>33938</v>
      </c>
      <c r="B60" s="49">
        <v>509.92</v>
      </c>
      <c r="C60" s="43">
        <f t="shared" si="0"/>
        <v>3.4047817005657732E-2</v>
      </c>
      <c r="D60" s="50">
        <v>747.46</v>
      </c>
      <c r="E60" s="43">
        <f t="shared" si="1"/>
        <v>7.6519810464764637E-2</v>
      </c>
      <c r="F60" s="48">
        <v>530.77</v>
      </c>
      <c r="G60" s="43">
        <f t="shared" si="2"/>
        <v>2.2613775558277815E-4</v>
      </c>
      <c r="H60" s="48">
        <v>617.13</v>
      </c>
      <c r="I60" s="43">
        <f t="shared" si="3"/>
        <v>-2.0375491194877249E-3</v>
      </c>
      <c r="J60" s="1"/>
      <c r="K60" s="1"/>
      <c r="L60" s="1"/>
      <c r="M60" s="35">
        <v>0.5</v>
      </c>
      <c r="N60" s="35">
        <v>0.21368629954655299</v>
      </c>
      <c r="O60" s="35">
        <v>0.2363137004534471</v>
      </c>
      <c r="P60" s="35">
        <v>4.9999999999999933E-2</v>
      </c>
      <c r="Q60" s="35"/>
      <c r="R60" s="20">
        <v>8.2002288755182225E-3</v>
      </c>
      <c r="S60" s="21">
        <v>3.0412028781998664E-2</v>
      </c>
      <c r="T60" s="18">
        <v>8.2012288755182183E-3</v>
      </c>
      <c r="U60" s="18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x14ac:dyDescent="0.2">
      <c r="A61" s="41">
        <v>33969</v>
      </c>
      <c r="B61" s="49">
        <v>516.17999999999995</v>
      </c>
      <c r="C61" s="43">
        <f t="shared" si="0"/>
        <v>1.2276435519297024E-2</v>
      </c>
      <c r="D61" s="50">
        <v>773.5</v>
      </c>
      <c r="E61" s="43">
        <f t="shared" si="1"/>
        <v>3.4837984641318487E-2</v>
      </c>
      <c r="F61" s="48">
        <v>539.21</v>
      </c>
      <c r="G61" s="43">
        <f t="shared" si="2"/>
        <v>1.5901426229817162E-2</v>
      </c>
      <c r="H61" s="48">
        <v>627.63</v>
      </c>
      <c r="I61" s="43">
        <f t="shared" si="3"/>
        <v>1.7014243352291958E-2</v>
      </c>
      <c r="J61" s="1"/>
      <c r="K61" s="1"/>
      <c r="L61" s="1"/>
      <c r="M61" s="35">
        <v>0.5</v>
      </c>
      <c r="N61" s="35">
        <v>0.24131697613894809</v>
      </c>
      <c r="O61" s="35">
        <v>0.20868302386105197</v>
      </c>
      <c r="P61" s="35">
        <v>4.9999999999999933E-2</v>
      </c>
      <c r="Q61" s="35"/>
      <c r="R61" s="52">
        <v>8.327616281156679E-3</v>
      </c>
      <c r="S61" s="22">
        <v>3.1686880881424309E-2</v>
      </c>
      <c r="T61" s="21">
        <v>8.32861628115668E-3</v>
      </c>
      <c r="U61" s="21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x14ac:dyDescent="0.2">
      <c r="A62" s="41">
        <v>33998</v>
      </c>
      <c r="B62" s="49">
        <v>520.49</v>
      </c>
      <c r="C62" s="43">
        <f t="shared" si="0"/>
        <v>8.3498004572049034E-3</v>
      </c>
      <c r="D62" s="50">
        <v>799.68</v>
      </c>
      <c r="E62" s="43">
        <f t="shared" si="1"/>
        <v>3.3846153846153859E-2</v>
      </c>
      <c r="F62" s="48">
        <v>549.54999999999995</v>
      </c>
      <c r="G62" s="43">
        <f t="shared" si="2"/>
        <v>1.9176202221768746E-2</v>
      </c>
      <c r="H62" s="48">
        <v>641.1</v>
      </c>
      <c r="I62" s="43">
        <f t="shared" si="3"/>
        <v>2.1461689211796697E-2</v>
      </c>
      <c r="J62" s="1"/>
      <c r="K62" s="1"/>
      <c r="L62" s="1"/>
      <c r="M62" s="35">
        <v>0.5</v>
      </c>
      <c r="N62" s="35">
        <v>0.26873075000187041</v>
      </c>
      <c r="O62" s="35">
        <v>0.18126924999812963</v>
      </c>
      <c r="P62" s="35">
        <v>4.9999999999999933E-2</v>
      </c>
      <c r="Q62" s="35"/>
      <c r="R62" s="20">
        <v>8.4550036867951338E-3</v>
      </c>
      <c r="S62" s="21">
        <v>3.2969854403784152E-2</v>
      </c>
      <c r="T62" s="18">
        <v>8.4550036868171804E-3</v>
      </c>
      <c r="U62" s="18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x14ac:dyDescent="0.2">
      <c r="A63" s="41">
        <v>34026</v>
      </c>
      <c r="B63" s="49">
        <v>527.59</v>
      </c>
      <c r="C63" s="43">
        <f t="shared" si="0"/>
        <v>1.364099214201997E-2</v>
      </c>
      <c r="D63" s="50">
        <v>781.21</v>
      </c>
      <c r="E63" s="43">
        <f t="shared" si="1"/>
        <v>-2.3096738695478125E-2</v>
      </c>
      <c r="F63" s="48">
        <v>559.16999999999996</v>
      </c>
      <c r="G63" s="43">
        <f t="shared" si="2"/>
        <v>1.7505231553088807E-2</v>
      </c>
      <c r="H63" s="48">
        <v>653.96</v>
      </c>
      <c r="I63" s="43">
        <f t="shared" si="3"/>
        <v>2.0059273124317656E-2</v>
      </c>
      <c r="J63" s="1"/>
      <c r="K63" s="1"/>
      <c r="L63" s="1"/>
      <c r="M63" s="35">
        <v>0.5</v>
      </c>
      <c r="N63" s="35">
        <v>0.2965783293237354</v>
      </c>
      <c r="O63" s="35">
        <v>0.15342167067626464</v>
      </c>
      <c r="P63" s="35">
        <v>4.9999999999999933E-2</v>
      </c>
      <c r="Q63" s="35"/>
      <c r="R63" s="20">
        <v>8.5823910924335903E-3</v>
      </c>
      <c r="S63" s="21">
        <v>3.4289527000803732E-2</v>
      </c>
      <c r="T63" s="18">
        <v>8.5833910924335878E-3</v>
      </c>
      <c r="U63" s="18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x14ac:dyDescent="0.2">
      <c r="A64" s="41">
        <v>34059</v>
      </c>
      <c r="B64" s="49">
        <v>538.72</v>
      </c>
      <c r="C64" s="43">
        <f t="shared" si="0"/>
        <v>2.109592676131089E-2</v>
      </c>
      <c r="D64" s="50">
        <v>806.56</v>
      </c>
      <c r="E64" s="43">
        <f t="shared" si="1"/>
        <v>3.2449661422664811E-2</v>
      </c>
      <c r="F64" s="48">
        <v>561.5</v>
      </c>
      <c r="G64" s="43">
        <f t="shared" si="2"/>
        <v>4.1668902122788953E-3</v>
      </c>
      <c r="H64" s="48">
        <v>656.13</v>
      </c>
      <c r="I64" s="43">
        <f t="shared" si="3"/>
        <v>3.3182457642668695E-3</v>
      </c>
      <c r="J64" s="1"/>
      <c r="K64" s="1"/>
      <c r="L64" s="1"/>
      <c r="M64" s="35">
        <v>0.5</v>
      </c>
      <c r="N64" s="35">
        <v>0.3242090059161305</v>
      </c>
      <c r="O64" s="35">
        <v>0.12579099408386951</v>
      </c>
      <c r="P64" s="35">
        <v>5.0000000000000044E-2</v>
      </c>
      <c r="Q64" s="35"/>
      <c r="R64" s="20">
        <v>8.7097784980720468E-3</v>
      </c>
      <c r="S64" s="21">
        <v>3.5613452213000552E-2</v>
      </c>
      <c r="T64" s="18">
        <v>8.7107784980720495E-3</v>
      </c>
      <c r="U64" s="18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x14ac:dyDescent="0.2">
      <c r="A65" s="41">
        <v>34089</v>
      </c>
      <c r="B65" s="49">
        <v>525.70000000000005</v>
      </c>
      <c r="C65" s="43">
        <f t="shared" si="0"/>
        <v>-2.416839916839908E-2</v>
      </c>
      <c r="D65" s="50">
        <v>784.42</v>
      </c>
      <c r="E65" s="43">
        <f t="shared" si="1"/>
        <v>-2.7449910731997651E-2</v>
      </c>
      <c r="F65" s="48">
        <v>565.41</v>
      </c>
      <c r="G65" s="43">
        <f t="shared" si="2"/>
        <v>6.9634906500444238E-3</v>
      </c>
      <c r="H65" s="48">
        <v>661.28</v>
      </c>
      <c r="I65" s="43">
        <f t="shared" si="3"/>
        <v>7.8490543032629922E-3</v>
      </c>
      <c r="J65" s="1"/>
      <c r="K65" s="1"/>
      <c r="L65" s="1"/>
      <c r="M65" s="35">
        <v>0.5</v>
      </c>
      <c r="N65" s="35">
        <v>0.35162277977905276</v>
      </c>
      <c r="O65" s="35">
        <v>9.8377220220947276E-2</v>
      </c>
      <c r="P65" s="35">
        <v>4.9999999999999933E-2</v>
      </c>
      <c r="Q65" s="35"/>
      <c r="R65" s="20">
        <v>8.8371659037105033E-3</v>
      </c>
      <c r="S65" s="21">
        <v>3.6939751217667571E-2</v>
      </c>
      <c r="T65" s="18">
        <v>8.8371659037325499E-3</v>
      </c>
      <c r="U65" s="18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x14ac:dyDescent="0.2">
      <c r="A66" s="41">
        <v>34120</v>
      </c>
      <c r="B66" s="49">
        <v>539.76</v>
      </c>
      <c r="C66" s="43">
        <f t="shared" si="0"/>
        <v>2.6745291991630005E-2</v>
      </c>
      <c r="D66" s="50">
        <v>819.13</v>
      </c>
      <c r="E66" s="43">
        <f t="shared" si="1"/>
        <v>4.4249254226052415E-2</v>
      </c>
      <c r="F66" s="48">
        <v>566.13</v>
      </c>
      <c r="G66" s="43">
        <f t="shared" si="2"/>
        <v>1.2734122141455639E-3</v>
      </c>
      <c r="H66" s="48">
        <v>660.47</v>
      </c>
      <c r="I66" s="43">
        <f t="shared" si="3"/>
        <v>-1.2248971691264376E-3</v>
      </c>
      <c r="J66" s="1"/>
      <c r="K66" s="1"/>
      <c r="L66" s="1"/>
      <c r="M66" s="35">
        <v>0.5</v>
      </c>
      <c r="N66" s="35">
        <v>0.37947035910091798</v>
      </c>
      <c r="O66" s="35">
        <v>7.0529640899082077E-2</v>
      </c>
      <c r="P66" s="35">
        <v>4.9999999999999933E-2</v>
      </c>
      <c r="Q66" s="35"/>
      <c r="R66" s="20">
        <v>8.964553309348958E-3</v>
      </c>
      <c r="S66" s="21">
        <v>3.8298694533073607E-2</v>
      </c>
      <c r="T66" s="18">
        <v>8.965553309348959E-3</v>
      </c>
      <c r="U66" s="18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x14ac:dyDescent="0.2">
      <c r="A67" s="41">
        <v>34150</v>
      </c>
      <c r="B67" s="49">
        <v>541.34</v>
      </c>
      <c r="C67" s="43">
        <f t="shared" si="0"/>
        <v>2.927226915666381E-3</v>
      </c>
      <c r="D67" s="50">
        <v>824.24</v>
      </c>
      <c r="E67" s="43">
        <f t="shared" si="1"/>
        <v>6.2383260288354503E-3</v>
      </c>
      <c r="F67" s="48">
        <v>576.39</v>
      </c>
      <c r="G67" s="43">
        <f t="shared" si="2"/>
        <v>1.8123045943511107E-2</v>
      </c>
      <c r="H67" s="48">
        <v>675.25</v>
      </c>
      <c r="I67" s="43">
        <f t="shared" si="3"/>
        <v>2.2378003542931513E-2</v>
      </c>
      <c r="J67" s="1"/>
      <c r="K67" s="1"/>
      <c r="L67" s="1"/>
      <c r="M67" s="35">
        <v>0.4</v>
      </c>
      <c r="N67" s="35">
        <v>0.49999999999999994</v>
      </c>
      <c r="O67" s="35">
        <v>0.05</v>
      </c>
      <c r="P67" s="35">
        <v>5.0000000000000044E-2</v>
      </c>
      <c r="Q67" s="35"/>
      <c r="R67" s="20">
        <v>9.0919407149874145E-3</v>
      </c>
      <c r="S67" s="21">
        <v>4.0592414819906983E-2</v>
      </c>
      <c r="T67" s="18">
        <v>9.0919407149874145E-3</v>
      </c>
      <c r="U67" s="18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x14ac:dyDescent="0.2">
      <c r="A68" s="41">
        <v>34180</v>
      </c>
      <c r="B68" s="49">
        <v>539.16</v>
      </c>
      <c r="C68" s="43">
        <f t="shared" ref="C68:C131" si="4">B68/B67-1</f>
        <v>-4.0270440019212206E-3</v>
      </c>
      <c r="D68" s="50">
        <v>835.62</v>
      </c>
      <c r="E68" s="43">
        <f t="shared" ref="E68:E131" si="5">D68/D67-1</f>
        <v>1.3806658254877258E-2</v>
      </c>
      <c r="F68" s="48">
        <v>579.65</v>
      </c>
      <c r="G68" s="43">
        <f t="shared" ref="G68:G131" si="6">F68/F67-1</f>
        <v>5.6558927115322177E-3</v>
      </c>
      <c r="H68" s="48">
        <v>679.22</v>
      </c>
      <c r="I68" s="43">
        <f t="shared" ref="I68:I131" si="7">H68/H67-1</f>
        <v>5.8793039614957188E-3</v>
      </c>
      <c r="J68" s="1"/>
      <c r="K68" s="1"/>
      <c r="L68" s="1"/>
      <c r="M68" s="29"/>
      <c r="N68" s="29"/>
      <c r="O68" s="29"/>
      <c r="P68" s="29"/>
      <c r="Q68" s="29"/>
      <c r="R68" s="11"/>
      <c r="T68" s="6"/>
      <c r="U68" s="6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x14ac:dyDescent="0.2">
      <c r="A69" s="41">
        <v>34212</v>
      </c>
      <c r="B69" s="49">
        <v>559.62</v>
      </c>
      <c r="C69" s="43">
        <f t="shared" si="4"/>
        <v>3.7947918985087981E-2</v>
      </c>
      <c r="D69" s="50">
        <v>871.72</v>
      </c>
      <c r="E69" s="43">
        <f t="shared" si="5"/>
        <v>4.3201455206912209E-2</v>
      </c>
      <c r="F69" s="48">
        <v>589.80999999999995</v>
      </c>
      <c r="G69" s="43">
        <f t="shared" si="6"/>
        <v>1.7527818511170468E-2</v>
      </c>
      <c r="H69" s="48">
        <v>694.35</v>
      </c>
      <c r="I69" s="43">
        <f t="shared" si="7"/>
        <v>2.2275551367745283E-2</v>
      </c>
      <c r="J69" s="1"/>
      <c r="K69" s="1"/>
      <c r="L69" s="1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x14ac:dyDescent="0.2">
      <c r="A70" s="41">
        <v>34242</v>
      </c>
      <c r="B70" s="49">
        <v>555.33000000000004</v>
      </c>
      <c r="C70" s="43">
        <f t="shared" si="4"/>
        <v>-7.6659161573924273E-3</v>
      </c>
      <c r="D70" s="50">
        <v>896.32</v>
      </c>
      <c r="E70" s="43">
        <f t="shared" si="5"/>
        <v>2.8220070664892516E-2</v>
      </c>
      <c r="F70" s="48">
        <v>591.42999999999995</v>
      </c>
      <c r="G70" s="43">
        <f t="shared" si="6"/>
        <v>2.7466472253776519E-3</v>
      </c>
      <c r="H70" s="48">
        <v>697.07</v>
      </c>
      <c r="I70" s="43">
        <f t="shared" si="7"/>
        <v>3.917332757255032E-3</v>
      </c>
      <c r="J70" s="1"/>
      <c r="K70" s="1"/>
      <c r="L70" s="1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x14ac:dyDescent="0.2">
      <c r="A71" s="41">
        <v>34271</v>
      </c>
      <c r="B71" s="49">
        <v>566.82000000000005</v>
      </c>
      <c r="C71" s="43">
        <f t="shared" si="4"/>
        <v>2.0690400302522782E-2</v>
      </c>
      <c r="D71" s="50">
        <v>919.39</v>
      </c>
      <c r="E71" s="43">
        <f t="shared" si="5"/>
        <v>2.5738575508746697E-2</v>
      </c>
      <c r="F71" s="48">
        <v>593.64</v>
      </c>
      <c r="G71" s="43">
        <f t="shared" si="6"/>
        <v>3.7367059499857636E-3</v>
      </c>
      <c r="H71" s="48">
        <v>699.67</v>
      </c>
      <c r="I71" s="43">
        <f t="shared" si="7"/>
        <v>3.7298980016353678E-3</v>
      </c>
      <c r="J71" s="1"/>
      <c r="K71" s="1"/>
      <c r="L71" s="1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x14ac:dyDescent="0.2">
      <c r="A72" s="41">
        <v>34303</v>
      </c>
      <c r="B72" s="49">
        <v>561.41</v>
      </c>
      <c r="C72" s="43">
        <f t="shared" si="4"/>
        <v>-9.54447620055765E-3</v>
      </c>
      <c r="D72" s="50">
        <v>889.13</v>
      </c>
      <c r="E72" s="43">
        <f t="shared" si="5"/>
        <v>-3.2913127182153334E-2</v>
      </c>
      <c r="F72" s="48">
        <v>588.59</v>
      </c>
      <c r="G72" s="43">
        <f t="shared" si="6"/>
        <v>-8.5068391617815209E-3</v>
      </c>
      <c r="H72" s="48">
        <v>692</v>
      </c>
      <c r="I72" s="43">
        <f t="shared" si="7"/>
        <v>-1.0962310803664499E-2</v>
      </c>
      <c r="J72" s="1"/>
      <c r="K72" s="1"/>
      <c r="L72" s="1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x14ac:dyDescent="0.2">
      <c r="A73" s="41">
        <v>34334</v>
      </c>
      <c r="B73" s="49">
        <v>568.20000000000005</v>
      </c>
      <c r="C73" s="43">
        <f t="shared" si="4"/>
        <v>1.2094547656792853E-2</v>
      </c>
      <c r="D73" s="50">
        <v>919.53</v>
      </c>
      <c r="E73" s="43">
        <f t="shared" si="5"/>
        <v>3.4190725765635976E-2</v>
      </c>
      <c r="F73" s="48">
        <v>591.78</v>
      </c>
      <c r="G73" s="43">
        <f t="shared" si="6"/>
        <v>5.4197319016631162E-3</v>
      </c>
      <c r="H73" s="48">
        <v>694.67</v>
      </c>
      <c r="I73" s="43">
        <f t="shared" si="7"/>
        <v>3.8583815028900847E-3</v>
      </c>
      <c r="J73" s="1"/>
      <c r="K73" s="1"/>
      <c r="L73" s="1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x14ac:dyDescent="0.2">
      <c r="A74" s="41">
        <v>34365</v>
      </c>
      <c r="B74" s="49">
        <v>587.52</v>
      </c>
      <c r="C74" s="43">
        <f t="shared" si="4"/>
        <v>3.4002111932418089E-2</v>
      </c>
      <c r="D74" s="50">
        <v>948.36</v>
      </c>
      <c r="E74" s="43">
        <f t="shared" si="5"/>
        <v>3.1352973801833661E-2</v>
      </c>
      <c r="F74" s="48">
        <v>599.77</v>
      </c>
      <c r="G74" s="43">
        <f t="shared" si="6"/>
        <v>1.3501639122647013E-2</v>
      </c>
      <c r="H74" s="48">
        <v>704.24</v>
      </c>
      <c r="I74" s="43">
        <f t="shared" si="7"/>
        <v>1.3776325449494031E-2</v>
      </c>
      <c r="J74" s="1"/>
      <c r="K74" s="1"/>
      <c r="L74" s="1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x14ac:dyDescent="0.2">
      <c r="A75" s="41">
        <v>34393</v>
      </c>
      <c r="B75" s="49">
        <v>571.57000000000005</v>
      </c>
      <c r="C75" s="43">
        <f t="shared" si="4"/>
        <v>-2.7148011982570663E-2</v>
      </c>
      <c r="D75" s="50">
        <v>944.93</v>
      </c>
      <c r="E75" s="43">
        <f t="shared" si="5"/>
        <v>-3.616770002952574E-3</v>
      </c>
      <c r="F75" s="48">
        <v>589.35</v>
      </c>
      <c r="G75" s="43">
        <f t="shared" si="6"/>
        <v>-1.7373326441802672E-2</v>
      </c>
      <c r="H75" s="48">
        <v>689.12</v>
      </c>
      <c r="I75" s="43">
        <f t="shared" si="7"/>
        <v>-2.1469953424968713E-2</v>
      </c>
      <c r="J75" s="1"/>
      <c r="K75" s="1"/>
      <c r="L75" s="1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x14ac:dyDescent="0.2">
      <c r="A76" s="41">
        <v>34424</v>
      </c>
      <c r="B76" s="49">
        <v>546.65</v>
      </c>
      <c r="C76" s="43">
        <f t="shared" si="4"/>
        <v>-4.3599209195724131E-2</v>
      </c>
      <c r="D76" s="50">
        <v>895.04</v>
      </c>
      <c r="E76" s="43">
        <f t="shared" si="5"/>
        <v>-5.2797561724148845E-2</v>
      </c>
      <c r="F76" s="48">
        <v>574.82000000000005</v>
      </c>
      <c r="G76" s="43">
        <f t="shared" si="6"/>
        <v>-2.4654280139136286E-2</v>
      </c>
      <c r="H76" s="48">
        <v>673.66</v>
      </c>
      <c r="I76" s="43">
        <f t="shared" si="7"/>
        <v>-2.2434409101462771E-2</v>
      </c>
      <c r="J76" s="1"/>
      <c r="K76" s="1"/>
      <c r="L76" s="1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x14ac:dyDescent="0.2">
      <c r="A77" s="41">
        <v>34453</v>
      </c>
      <c r="B77" s="49">
        <v>553.66</v>
      </c>
      <c r="C77" s="43">
        <f t="shared" si="4"/>
        <v>1.2823561693954044E-2</v>
      </c>
      <c r="D77" s="50">
        <v>900.36</v>
      </c>
      <c r="E77" s="43">
        <f t="shared" si="5"/>
        <v>5.943868430461352E-3</v>
      </c>
      <c r="F77" s="48">
        <v>570.23</v>
      </c>
      <c r="G77" s="43">
        <f t="shared" si="6"/>
        <v>-7.9851083817543689E-3</v>
      </c>
      <c r="H77" s="48">
        <v>668.39</v>
      </c>
      <c r="I77" s="43">
        <f t="shared" si="7"/>
        <v>-7.8229373868122787E-3</v>
      </c>
      <c r="J77" s="1"/>
      <c r="K77" s="1"/>
      <c r="L77" s="1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x14ac:dyDescent="0.2">
      <c r="A78" s="41">
        <v>34485</v>
      </c>
      <c r="B78" s="49">
        <v>562.75</v>
      </c>
      <c r="C78" s="43">
        <f t="shared" si="4"/>
        <v>1.6418018278365754E-2</v>
      </c>
      <c r="D78" s="50">
        <v>890.25</v>
      </c>
      <c r="E78" s="43">
        <f t="shared" si="5"/>
        <v>-1.1228841796614653E-2</v>
      </c>
      <c r="F78" s="48">
        <v>570.15</v>
      </c>
      <c r="G78" s="43">
        <f t="shared" si="6"/>
        <v>-1.4029426722561578E-4</v>
      </c>
      <c r="H78" s="48">
        <v>667.58</v>
      </c>
      <c r="I78" s="43">
        <f t="shared" si="7"/>
        <v>-1.2118673229700727E-3</v>
      </c>
      <c r="J78" s="1"/>
      <c r="K78" s="1"/>
      <c r="L78" s="1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x14ac:dyDescent="0.2">
      <c r="A79" s="41">
        <v>34515</v>
      </c>
      <c r="B79" s="49">
        <v>548.96</v>
      </c>
      <c r="C79" s="43">
        <f t="shared" si="4"/>
        <v>-2.450466459351397E-2</v>
      </c>
      <c r="D79" s="50">
        <v>860.02</v>
      </c>
      <c r="E79" s="43">
        <f t="shared" si="5"/>
        <v>-3.3956753720864929E-2</v>
      </c>
      <c r="F79" s="48">
        <v>568.89</v>
      </c>
      <c r="G79" s="43">
        <f t="shared" si="6"/>
        <v>-2.2099447513812542E-3</v>
      </c>
      <c r="H79" s="48">
        <v>666.08</v>
      </c>
      <c r="I79" s="43">
        <f t="shared" si="7"/>
        <v>-2.2469217172473854E-3</v>
      </c>
      <c r="J79" s="1"/>
      <c r="K79" s="1"/>
      <c r="L79" s="1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x14ac:dyDescent="0.2">
      <c r="A80" s="41">
        <v>34544</v>
      </c>
      <c r="B80" s="49">
        <v>566.98</v>
      </c>
      <c r="C80" s="43">
        <f t="shared" si="4"/>
        <v>3.2825706791022924E-2</v>
      </c>
      <c r="D80" s="50">
        <v>874.15</v>
      </c>
      <c r="E80" s="43">
        <f t="shared" si="5"/>
        <v>1.6429850468593798E-2</v>
      </c>
      <c r="F80" s="48">
        <v>580.19000000000005</v>
      </c>
      <c r="G80" s="43">
        <f t="shared" si="6"/>
        <v>1.9863242454604801E-2</v>
      </c>
      <c r="H80" s="48">
        <v>678.22</v>
      </c>
      <c r="I80" s="43">
        <f t="shared" si="7"/>
        <v>1.8226038914244569E-2</v>
      </c>
      <c r="J80" s="1"/>
      <c r="K80" s="1"/>
      <c r="L80" s="1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x14ac:dyDescent="0.2">
      <c r="A81" s="41">
        <v>34577</v>
      </c>
      <c r="B81" s="49">
        <v>590.23</v>
      </c>
      <c r="C81" s="43">
        <f t="shared" si="4"/>
        <v>4.1006737451056541E-2</v>
      </c>
      <c r="D81" s="50">
        <v>922.86</v>
      </c>
      <c r="E81" s="43">
        <f t="shared" si="5"/>
        <v>5.5722702053423445E-2</v>
      </c>
      <c r="F81" s="48">
        <v>580.91</v>
      </c>
      <c r="G81" s="43">
        <f t="shared" si="6"/>
        <v>1.2409727847773055E-3</v>
      </c>
      <c r="H81" s="48">
        <v>678.38</v>
      </c>
      <c r="I81" s="43">
        <f t="shared" si="7"/>
        <v>2.3591165108660661E-4</v>
      </c>
      <c r="J81" s="1"/>
      <c r="K81" s="1"/>
      <c r="L81" s="1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x14ac:dyDescent="0.2">
      <c r="A82" s="41">
        <v>34607</v>
      </c>
      <c r="B82" s="49">
        <v>575.79</v>
      </c>
      <c r="C82" s="43">
        <f t="shared" si="4"/>
        <v>-2.4465039052572801E-2</v>
      </c>
      <c r="D82" s="50">
        <v>919.77</v>
      </c>
      <c r="E82" s="43">
        <f t="shared" si="5"/>
        <v>-3.3482868474091765E-3</v>
      </c>
      <c r="F82" s="48">
        <v>572.36</v>
      </c>
      <c r="G82" s="43">
        <f t="shared" si="6"/>
        <v>-1.4718286825842086E-2</v>
      </c>
      <c r="H82" s="48">
        <v>668.85</v>
      </c>
      <c r="I82" s="43">
        <f t="shared" si="7"/>
        <v>-1.4048173590023305E-2</v>
      </c>
      <c r="J82" s="1"/>
      <c r="K82" s="1"/>
      <c r="L82" s="1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x14ac:dyDescent="0.2">
      <c r="A83" s="41">
        <v>34638</v>
      </c>
      <c r="B83" s="49">
        <v>588.73</v>
      </c>
      <c r="C83" s="43">
        <f t="shared" si="4"/>
        <v>2.2473471230830766E-2</v>
      </c>
      <c r="D83" s="50">
        <v>916.14</v>
      </c>
      <c r="E83" s="43">
        <f t="shared" si="5"/>
        <v>-3.946638833621452E-3</v>
      </c>
      <c r="F83" s="48">
        <v>571.85</v>
      </c>
      <c r="G83" s="43">
        <f t="shared" si="6"/>
        <v>-8.9104759242430998E-4</v>
      </c>
      <c r="H83" s="48">
        <v>668.43</v>
      </c>
      <c r="I83" s="43">
        <f t="shared" si="7"/>
        <v>-6.2794348508643516E-4</v>
      </c>
      <c r="J83" s="1"/>
      <c r="K83" s="1"/>
      <c r="L83" s="1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x14ac:dyDescent="0.2">
      <c r="A84" s="41">
        <v>34668</v>
      </c>
      <c r="B84" s="49">
        <v>567.29</v>
      </c>
      <c r="C84" s="43">
        <f t="shared" si="4"/>
        <v>-3.6417372989316021E-2</v>
      </c>
      <c r="D84" s="50">
        <v>879.14</v>
      </c>
      <c r="E84" s="43">
        <f t="shared" si="5"/>
        <v>-4.0386840439234128E-2</v>
      </c>
      <c r="F84" s="48">
        <v>570.58000000000004</v>
      </c>
      <c r="G84" s="43">
        <f t="shared" si="6"/>
        <v>-2.2208621141907026E-3</v>
      </c>
      <c r="H84" s="48">
        <v>667.09</v>
      </c>
      <c r="I84" s="43">
        <f t="shared" si="7"/>
        <v>-2.0046975749142826E-3</v>
      </c>
      <c r="J84" s="1"/>
      <c r="K84" s="1"/>
      <c r="L84" s="1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x14ac:dyDescent="0.2">
      <c r="A85" s="41">
        <v>34698</v>
      </c>
      <c r="B85" s="49">
        <v>575.70000000000005</v>
      </c>
      <c r="C85" s="43">
        <f t="shared" si="4"/>
        <v>1.4824869114562267E-2</v>
      </c>
      <c r="D85" s="50">
        <v>902.76</v>
      </c>
      <c r="E85" s="43">
        <f t="shared" si="5"/>
        <v>2.6867165639147261E-2</v>
      </c>
      <c r="F85" s="48">
        <v>574.52</v>
      </c>
      <c r="G85" s="43">
        <f t="shared" si="6"/>
        <v>6.9052543026393298E-3</v>
      </c>
      <c r="H85" s="48">
        <v>671.18</v>
      </c>
      <c r="I85" s="43">
        <f t="shared" si="7"/>
        <v>6.1311067472153979E-3</v>
      </c>
      <c r="J85" s="1"/>
      <c r="K85" s="1"/>
      <c r="L85" s="1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x14ac:dyDescent="0.2">
      <c r="A86" s="41">
        <v>34730</v>
      </c>
      <c r="B86" s="49">
        <v>590.64</v>
      </c>
      <c r="C86" s="43">
        <f t="shared" si="4"/>
        <v>2.5951016154246886E-2</v>
      </c>
      <c r="D86" s="50">
        <v>891.37</v>
      </c>
      <c r="E86" s="43">
        <f t="shared" si="5"/>
        <v>-1.2616863839780224E-2</v>
      </c>
      <c r="F86" s="48">
        <v>585.89</v>
      </c>
      <c r="G86" s="43">
        <f t="shared" si="6"/>
        <v>1.9790433753394066E-2</v>
      </c>
      <c r="H86" s="48">
        <v>683.6</v>
      </c>
      <c r="I86" s="43">
        <f t="shared" si="7"/>
        <v>1.8504723025120073E-2</v>
      </c>
      <c r="J86" s="1"/>
      <c r="K86" s="1"/>
      <c r="L86" s="1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x14ac:dyDescent="0.2">
      <c r="A87" s="41">
        <v>34758</v>
      </c>
      <c r="B87" s="49">
        <v>613.65</v>
      </c>
      <c r="C87" s="43">
        <f t="shared" si="4"/>
        <v>3.8957740755790393E-2</v>
      </c>
      <c r="D87" s="50">
        <v>928.45</v>
      </c>
      <c r="E87" s="43">
        <f t="shared" si="5"/>
        <v>4.1598887106364391E-2</v>
      </c>
      <c r="F87" s="48">
        <v>599.82000000000005</v>
      </c>
      <c r="G87" s="43">
        <f t="shared" si="6"/>
        <v>2.3775794091041025E-2</v>
      </c>
      <c r="H87" s="48">
        <v>698.19</v>
      </c>
      <c r="I87" s="43">
        <f t="shared" si="7"/>
        <v>2.1342890579286289E-2</v>
      </c>
      <c r="J87" s="1"/>
      <c r="K87" s="1"/>
      <c r="L87" s="1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x14ac:dyDescent="0.2">
      <c r="A88" s="41">
        <v>34789</v>
      </c>
      <c r="B88" s="49">
        <v>631.76</v>
      </c>
      <c r="C88" s="43">
        <f t="shared" si="4"/>
        <v>2.9511936771775549E-2</v>
      </c>
      <c r="D88" s="50">
        <v>944.44</v>
      </c>
      <c r="E88" s="43">
        <f t="shared" si="5"/>
        <v>1.722225214066464E-2</v>
      </c>
      <c r="F88" s="48">
        <v>603.5</v>
      </c>
      <c r="G88" s="43">
        <f t="shared" si="6"/>
        <v>6.1351738854988902E-3</v>
      </c>
      <c r="H88" s="48">
        <v>702.58</v>
      </c>
      <c r="I88" s="43">
        <f t="shared" si="7"/>
        <v>6.2876867328376385E-3</v>
      </c>
      <c r="J88" s="1"/>
      <c r="K88" s="1"/>
      <c r="L88" s="1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x14ac:dyDescent="0.2">
      <c r="A89" s="41">
        <v>34817</v>
      </c>
      <c r="B89" s="49">
        <v>650.36</v>
      </c>
      <c r="C89" s="43">
        <f t="shared" si="4"/>
        <v>2.9441560086108653E-2</v>
      </c>
      <c r="D89" s="50">
        <v>965.44</v>
      </c>
      <c r="E89" s="43">
        <f t="shared" si="5"/>
        <v>2.2235398754817615E-2</v>
      </c>
      <c r="F89" s="48">
        <v>611.92999999999995</v>
      </c>
      <c r="G89" s="43">
        <f t="shared" si="6"/>
        <v>1.3968516984258494E-2</v>
      </c>
      <c r="H89" s="48">
        <v>711.77</v>
      </c>
      <c r="I89" s="43">
        <f t="shared" si="7"/>
        <v>1.3080360955336046E-2</v>
      </c>
      <c r="J89" s="1"/>
      <c r="K89" s="1"/>
      <c r="L89" s="1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x14ac:dyDescent="0.2">
      <c r="A90" s="41">
        <v>34850</v>
      </c>
      <c r="B90" s="49">
        <v>676.36</v>
      </c>
      <c r="C90" s="43">
        <f t="shared" si="4"/>
        <v>3.9977858416876844E-2</v>
      </c>
      <c r="D90" s="50">
        <v>982.04</v>
      </c>
      <c r="E90" s="43">
        <f t="shared" si="5"/>
        <v>1.7194232681471577E-2</v>
      </c>
      <c r="F90" s="48">
        <v>635.61</v>
      </c>
      <c r="G90" s="43">
        <f t="shared" si="6"/>
        <v>3.8697236612030839E-2</v>
      </c>
      <c r="H90" s="48">
        <v>740.55</v>
      </c>
      <c r="I90" s="43">
        <f t="shared" si="7"/>
        <v>4.0434409991991771E-2</v>
      </c>
      <c r="J90" s="1"/>
      <c r="K90" s="1"/>
      <c r="L90" s="1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x14ac:dyDescent="0.2">
      <c r="A91" s="41">
        <v>34880</v>
      </c>
      <c r="B91" s="49">
        <v>692.07</v>
      </c>
      <c r="C91" s="43">
        <f t="shared" si="4"/>
        <v>2.3227275415459214E-2</v>
      </c>
      <c r="D91" s="50">
        <v>1032.9839999999999</v>
      </c>
      <c r="E91" s="43">
        <f t="shared" si="5"/>
        <v>5.1875687344711041E-2</v>
      </c>
      <c r="F91" s="48">
        <v>640.27</v>
      </c>
      <c r="G91" s="43">
        <f t="shared" si="6"/>
        <v>7.3315397806830163E-3</v>
      </c>
      <c r="H91" s="48">
        <v>746.39</v>
      </c>
      <c r="I91" s="43">
        <f t="shared" si="7"/>
        <v>7.8860306528931723E-3</v>
      </c>
      <c r="J91" s="1"/>
      <c r="K91" s="1"/>
      <c r="L91" s="1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x14ac:dyDescent="0.2">
      <c r="A92" s="41">
        <v>34911</v>
      </c>
      <c r="B92" s="49">
        <v>715.02</v>
      </c>
      <c r="C92" s="43">
        <f t="shared" si="4"/>
        <v>3.3161385408990274E-2</v>
      </c>
      <c r="D92" s="50">
        <v>1092.4860000000001</v>
      </c>
      <c r="E92" s="43">
        <f t="shared" si="5"/>
        <v>5.7602053855626112E-2</v>
      </c>
      <c r="F92" s="48">
        <v>638.84</v>
      </c>
      <c r="G92" s="43">
        <f t="shared" si="6"/>
        <v>-2.2334327705498813E-3</v>
      </c>
      <c r="H92" s="48">
        <v>743.62</v>
      </c>
      <c r="I92" s="43">
        <f t="shared" si="7"/>
        <v>-3.7111965594394114E-3</v>
      </c>
      <c r="J92" s="1"/>
      <c r="K92" s="1"/>
      <c r="L92" s="1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x14ac:dyDescent="0.2">
      <c r="A93" s="41">
        <v>34942</v>
      </c>
      <c r="B93" s="49">
        <v>716.82</v>
      </c>
      <c r="C93" s="43">
        <f t="shared" si="4"/>
        <v>2.5174121003608274E-3</v>
      </c>
      <c r="D93" s="50">
        <v>1115.086</v>
      </c>
      <c r="E93" s="43">
        <f t="shared" si="5"/>
        <v>2.068676394937774E-2</v>
      </c>
      <c r="F93" s="48">
        <v>646.54999999999995</v>
      </c>
      <c r="G93" s="43">
        <f t="shared" si="6"/>
        <v>1.2068749608665552E-2</v>
      </c>
      <c r="H93" s="48">
        <v>752.24</v>
      </c>
      <c r="I93" s="43">
        <f t="shared" si="7"/>
        <v>1.1591942120975807E-2</v>
      </c>
      <c r="J93" s="1"/>
      <c r="K93" s="1"/>
      <c r="L93" s="1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x14ac:dyDescent="0.2">
      <c r="A94" s="41">
        <v>34971</v>
      </c>
      <c r="B94" s="49">
        <v>747.07</v>
      </c>
      <c r="C94" s="43">
        <f t="shared" si="4"/>
        <v>4.220027342987076E-2</v>
      </c>
      <c r="D94" s="50">
        <v>1135</v>
      </c>
      <c r="E94" s="43">
        <f t="shared" si="5"/>
        <v>1.7858712242822428E-2</v>
      </c>
      <c r="F94" s="48">
        <v>652.84</v>
      </c>
      <c r="G94" s="43">
        <f t="shared" si="6"/>
        <v>9.7285592761582329E-3</v>
      </c>
      <c r="H94" s="48">
        <v>759.45</v>
      </c>
      <c r="I94" s="43">
        <f t="shared" si="7"/>
        <v>9.5847070084016384E-3</v>
      </c>
      <c r="J94" s="1"/>
      <c r="K94" s="1"/>
      <c r="L94" s="1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x14ac:dyDescent="0.2">
      <c r="A95" s="41">
        <v>35003</v>
      </c>
      <c r="B95" s="49">
        <v>744.4</v>
      </c>
      <c r="C95" s="43">
        <f t="shared" si="4"/>
        <v>-3.5739622793046211E-3</v>
      </c>
      <c r="D95" s="50">
        <v>1084.24</v>
      </c>
      <c r="E95" s="43">
        <f t="shared" si="5"/>
        <v>-4.4722466960352425E-2</v>
      </c>
      <c r="F95" s="48">
        <v>661.33</v>
      </c>
      <c r="G95" s="43">
        <f t="shared" si="6"/>
        <v>1.3004717848171143E-2</v>
      </c>
      <c r="H95" s="48">
        <v>771.19</v>
      </c>
      <c r="I95" s="43">
        <f t="shared" si="7"/>
        <v>1.5458555533609752E-2</v>
      </c>
      <c r="J95" s="1"/>
      <c r="K95" s="1"/>
      <c r="L95" s="1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x14ac:dyDescent="0.2">
      <c r="A96" s="41">
        <v>35033</v>
      </c>
      <c r="B96" s="49">
        <v>777.07</v>
      </c>
      <c r="C96" s="43">
        <f t="shared" si="4"/>
        <v>4.3887694787748677E-2</v>
      </c>
      <c r="D96" s="50">
        <v>1129.7940000000001</v>
      </c>
      <c r="E96" s="43">
        <f t="shared" si="5"/>
        <v>4.2014683095993544E-2</v>
      </c>
      <c r="F96" s="48">
        <v>671.24</v>
      </c>
      <c r="G96" s="43">
        <f t="shared" si="6"/>
        <v>1.4984954561262809E-2</v>
      </c>
      <c r="H96" s="48">
        <v>783.14</v>
      </c>
      <c r="I96" s="43">
        <f t="shared" si="7"/>
        <v>1.5495532877760176E-2</v>
      </c>
      <c r="J96" s="1"/>
      <c r="K96" s="1"/>
      <c r="L96" s="1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x14ac:dyDescent="0.2">
      <c r="A97" s="41">
        <v>35062</v>
      </c>
      <c r="B97" s="49">
        <v>792.04</v>
      </c>
      <c r="C97" s="43">
        <f t="shared" si="4"/>
        <v>1.9264673710219116E-2</v>
      </c>
      <c r="D97" s="50">
        <v>1159.6030000000001</v>
      </c>
      <c r="E97" s="43">
        <f t="shared" si="5"/>
        <v>2.6384455927363826E-2</v>
      </c>
      <c r="F97" s="48">
        <v>680.66</v>
      </c>
      <c r="G97" s="43">
        <f t="shared" si="6"/>
        <v>1.4033728621655417E-2</v>
      </c>
      <c r="H97" s="48">
        <v>794.35</v>
      </c>
      <c r="I97" s="43">
        <f t="shared" si="7"/>
        <v>1.4314171157136624E-2</v>
      </c>
      <c r="J97" s="1"/>
      <c r="K97" s="1"/>
      <c r="L97" s="1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x14ac:dyDescent="0.2">
      <c r="A98" s="41">
        <v>35095</v>
      </c>
      <c r="B98" s="49">
        <v>819</v>
      </c>
      <c r="C98" s="43">
        <f t="shared" si="4"/>
        <v>3.403868491490325E-2</v>
      </c>
      <c r="D98" s="50">
        <v>1158.356</v>
      </c>
      <c r="E98" s="43">
        <f t="shared" si="5"/>
        <v>-1.0753680354397277E-3</v>
      </c>
      <c r="F98" s="48">
        <v>685.18</v>
      </c>
      <c r="G98" s="43">
        <f t="shared" si="6"/>
        <v>6.6406135221697138E-3</v>
      </c>
      <c r="H98" s="48">
        <v>799.36</v>
      </c>
      <c r="I98" s="43">
        <f t="shared" si="7"/>
        <v>6.3070434946812526E-3</v>
      </c>
      <c r="J98" s="1"/>
      <c r="K98" s="1"/>
      <c r="L98" s="1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x14ac:dyDescent="0.2">
      <c r="A99" s="41">
        <v>35124</v>
      </c>
      <c r="B99" s="49">
        <v>826.59</v>
      </c>
      <c r="C99" s="43">
        <f t="shared" si="4"/>
        <v>9.2673992673992789E-3</v>
      </c>
      <c r="D99" s="50">
        <v>1194.461</v>
      </c>
      <c r="E99" s="43">
        <f t="shared" si="5"/>
        <v>3.1169174243496744E-2</v>
      </c>
      <c r="F99" s="48">
        <v>673.27</v>
      </c>
      <c r="G99" s="43">
        <f t="shared" si="6"/>
        <v>-1.7382293703844254E-2</v>
      </c>
      <c r="H99" s="48">
        <v>782.99</v>
      </c>
      <c r="I99" s="43">
        <f t="shared" si="7"/>
        <v>-2.0478883106485157E-2</v>
      </c>
      <c r="J99" s="1"/>
      <c r="K99" s="1"/>
      <c r="L99" s="1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x14ac:dyDescent="0.2">
      <c r="A100" s="41">
        <v>35153</v>
      </c>
      <c r="B100" s="49">
        <v>834.55</v>
      </c>
      <c r="C100" s="43">
        <f t="shared" si="4"/>
        <v>9.6299253559803955E-3</v>
      </c>
      <c r="D100" s="50">
        <v>1218.7739999999999</v>
      </c>
      <c r="E100" s="43">
        <f t="shared" si="5"/>
        <v>2.0354787640617822E-2</v>
      </c>
      <c r="F100" s="48">
        <v>668.59</v>
      </c>
      <c r="G100" s="43">
        <f t="shared" si="6"/>
        <v>-6.9511488704382396E-3</v>
      </c>
      <c r="H100" s="48">
        <v>776.22</v>
      </c>
      <c r="I100" s="43">
        <f t="shared" si="7"/>
        <v>-8.6463428651706309E-3</v>
      </c>
      <c r="J100" s="1"/>
      <c r="K100" s="1"/>
      <c r="L100" s="1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x14ac:dyDescent="0.2">
      <c r="A101" s="41">
        <v>35185</v>
      </c>
      <c r="B101" s="49">
        <v>846.85</v>
      </c>
      <c r="C101" s="43">
        <f t="shared" si="4"/>
        <v>1.473848181654791E-2</v>
      </c>
      <c r="D101" s="50">
        <v>1283.944</v>
      </c>
      <c r="E101" s="43">
        <f t="shared" si="5"/>
        <v>5.3471767530321568E-2</v>
      </c>
      <c r="F101" s="48">
        <v>664.83</v>
      </c>
      <c r="G101" s="43">
        <f t="shared" si="6"/>
        <v>-5.6237754079480062E-3</v>
      </c>
      <c r="H101" s="48">
        <v>771.25</v>
      </c>
      <c r="I101" s="43">
        <f t="shared" si="7"/>
        <v>-6.4028239416660249E-3</v>
      </c>
      <c r="J101" s="1"/>
      <c r="K101" s="1"/>
      <c r="L101" s="1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x14ac:dyDescent="0.2">
      <c r="A102" s="41">
        <v>35216</v>
      </c>
      <c r="B102" s="49">
        <v>868.69</v>
      </c>
      <c r="C102" s="43">
        <f t="shared" si="4"/>
        <v>2.5789691208596643E-2</v>
      </c>
      <c r="D102" s="50">
        <v>1334.5409999999999</v>
      </c>
      <c r="E102" s="43">
        <f t="shared" si="5"/>
        <v>3.9407481946253098E-2</v>
      </c>
      <c r="F102" s="48">
        <v>663.48</v>
      </c>
      <c r="G102" s="43">
        <f t="shared" si="6"/>
        <v>-2.0305942872614891E-3</v>
      </c>
      <c r="H102" s="48">
        <v>770</v>
      </c>
      <c r="I102" s="43">
        <f t="shared" si="7"/>
        <v>-1.6207455429497752E-3</v>
      </c>
      <c r="J102" s="1"/>
      <c r="K102" s="1"/>
      <c r="L102" s="1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x14ac:dyDescent="0.2">
      <c r="A103" s="41">
        <v>35244</v>
      </c>
      <c r="B103" s="49">
        <v>872.01</v>
      </c>
      <c r="C103" s="43">
        <f t="shared" si="4"/>
        <v>3.821846688692121E-3</v>
      </c>
      <c r="D103" s="50">
        <v>1279.74</v>
      </c>
      <c r="E103" s="43">
        <f t="shared" si="5"/>
        <v>-4.1063556683533786E-2</v>
      </c>
      <c r="F103" s="48">
        <v>672.39</v>
      </c>
      <c r="G103" s="43">
        <f t="shared" si="6"/>
        <v>1.3429191535539786E-2</v>
      </c>
      <c r="H103" s="48">
        <v>779.76</v>
      </c>
      <c r="I103" s="43">
        <f t="shared" si="7"/>
        <v>1.2675324675324617E-2</v>
      </c>
      <c r="J103" s="1"/>
      <c r="K103" s="1"/>
      <c r="L103" s="1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x14ac:dyDescent="0.2">
      <c r="A104" s="41">
        <v>35277</v>
      </c>
      <c r="B104" s="49">
        <v>833.48</v>
      </c>
      <c r="C104" s="43">
        <f t="shared" si="4"/>
        <v>-4.4185273104666245E-2</v>
      </c>
      <c r="D104" s="50">
        <v>1167.963</v>
      </c>
      <c r="E104" s="43">
        <f t="shared" si="5"/>
        <v>-8.7343522903089776E-2</v>
      </c>
      <c r="F104" s="48">
        <v>674.23</v>
      </c>
      <c r="G104" s="43">
        <f t="shared" si="6"/>
        <v>2.7365070866609553E-3</v>
      </c>
      <c r="H104" s="48">
        <v>781.61</v>
      </c>
      <c r="I104" s="43">
        <f t="shared" si="7"/>
        <v>2.3725248794501663E-3</v>
      </c>
      <c r="J104" s="1"/>
      <c r="K104" s="1"/>
      <c r="L104" s="1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x14ac:dyDescent="0.2">
      <c r="A105" s="41">
        <v>35307</v>
      </c>
      <c r="B105" s="49">
        <v>851.06</v>
      </c>
      <c r="C105" s="43">
        <f t="shared" si="4"/>
        <v>2.1092287757354722E-2</v>
      </c>
      <c r="D105" s="50">
        <v>1235.7750000000001</v>
      </c>
      <c r="E105" s="43">
        <f t="shared" si="5"/>
        <v>5.8060058409384663E-2</v>
      </c>
      <c r="F105" s="48">
        <v>673.1</v>
      </c>
      <c r="G105" s="43">
        <f t="shared" si="6"/>
        <v>-1.6759859395162335E-3</v>
      </c>
      <c r="H105" s="48">
        <v>779.98</v>
      </c>
      <c r="I105" s="43">
        <f t="shared" si="7"/>
        <v>-2.0854390296951575E-3</v>
      </c>
      <c r="J105" s="1"/>
      <c r="K105" s="1"/>
      <c r="L105" s="1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x14ac:dyDescent="0.2">
      <c r="A106" s="41">
        <v>35338</v>
      </c>
      <c r="B106" s="49">
        <v>898.97</v>
      </c>
      <c r="C106" s="43">
        <f t="shared" si="4"/>
        <v>5.6294503325265088E-2</v>
      </c>
      <c r="D106" s="50">
        <v>1284.068</v>
      </c>
      <c r="E106" s="43">
        <f t="shared" si="5"/>
        <v>3.9079120390038469E-2</v>
      </c>
      <c r="F106" s="48">
        <v>684.83</v>
      </c>
      <c r="G106" s="43">
        <f t="shared" si="6"/>
        <v>1.7426831080077365E-2</v>
      </c>
      <c r="H106" s="48">
        <v>792.8</v>
      </c>
      <c r="I106" s="43">
        <f t="shared" si="7"/>
        <v>1.6436318879971212E-2</v>
      </c>
      <c r="J106" s="1"/>
      <c r="K106" s="1"/>
      <c r="L106" s="1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x14ac:dyDescent="0.2">
      <c r="A107" s="41">
        <v>35369</v>
      </c>
      <c r="B107" s="49">
        <v>923.76</v>
      </c>
      <c r="C107" s="43">
        <f t="shared" si="4"/>
        <v>2.7576003648620118E-2</v>
      </c>
      <c r="D107" s="50">
        <v>1264.278</v>
      </c>
      <c r="E107" s="43">
        <f t="shared" si="5"/>
        <v>-1.5411956376142011E-2</v>
      </c>
      <c r="F107" s="48">
        <v>700</v>
      </c>
      <c r="G107" s="43">
        <f t="shared" si="6"/>
        <v>2.2151482849758208E-2</v>
      </c>
      <c r="H107" s="48">
        <v>810.22</v>
      </c>
      <c r="I107" s="43">
        <f t="shared" si="7"/>
        <v>2.1972754793138316E-2</v>
      </c>
      <c r="J107" s="3"/>
      <c r="K107" s="3"/>
      <c r="L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x14ac:dyDescent="0.2">
      <c r="A108" s="41">
        <v>35398</v>
      </c>
      <c r="B108" s="49">
        <v>993.58</v>
      </c>
      <c r="C108" s="43">
        <f t="shared" si="4"/>
        <v>7.5582402355590217E-2</v>
      </c>
      <c r="D108" s="50">
        <v>1316.3720000000001</v>
      </c>
      <c r="E108" s="43">
        <f t="shared" si="5"/>
        <v>4.1204545202874643E-2</v>
      </c>
      <c r="F108" s="48">
        <v>711.99</v>
      </c>
      <c r="G108" s="43">
        <f t="shared" si="6"/>
        <v>1.7128571428571382E-2</v>
      </c>
      <c r="H108" s="48">
        <v>824.26</v>
      </c>
      <c r="I108" s="43">
        <f t="shared" si="7"/>
        <v>1.7328626792722845E-2</v>
      </c>
      <c r="J108" s="3"/>
      <c r="K108" s="3"/>
      <c r="L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x14ac:dyDescent="0.2">
      <c r="A109" s="41">
        <v>35430</v>
      </c>
      <c r="B109" s="49">
        <v>973.9</v>
      </c>
      <c r="C109" s="43">
        <f t="shared" si="4"/>
        <v>-1.9807161979911059E-2</v>
      </c>
      <c r="D109" s="50">
        <v>1350.8710000000001</v>
      </c>
      <c r="E109" s="43">
        <f t="shared" si="5"/>
        <v>2.620763735479037E-2</v>
      </c>
      <c r="F109" s="48">
        <v>705.37</v>
      </c>
      <c r="G109" s="43">
        <f t="shared" si="6"/>
        <v>-9.2978833972386932E-3</v>
      </c>
      <c r="H109" s="48">
        <v>815.77</v>
      </c>
      <c r="I109" s="43">
        <f t="shared" si="7"/>
        <v>-1.030014801154977E-2</v>
      </c>
      <c r="J109" s="3"/>
      <c r="K109" s="3"/>
      <c r="L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x14ac:dyDescent="0.2">
      <c r="A110" s="41">
        <v>35461</v>
      </c>
      <c r="B110" s="49">
        <v>1034.74</v>
      </c>
      <c r="C110" s="43">
        <f t="shared" si="4"/>
        <v>6.2470479515350785E-2</v>
      </c>
      <c r="D110" s="50">
        <v>1377.8679999999999</v>
      </c>
      <c r="E110" s="43">
        <f t="shared" si="5"/>
        <v>1.9984883826804856E-2</v>
      </c>
      <c r="F110" s="48">
        <v>707.53</v>
      </c>
      <c r="G110" s="43">
        <f t="shared" si="6"/>
        <v>3.0622226632830429E-3</v>
      </c>
      <c r="H110" s="48">
        <v>816.58</v>
      </c>
      <c r="I110" s="43">
        <f t="shared" si="7"/>
        <v>9.9292692793317983E-4</v>
      </c>
      <c r="J110" s="3"/>
      <c r="K110" s="3"/>
      <c r="L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x14ac:dyDescent="0.2">
      <c r="A111" s="41">
        <v>35489</v>
      </c>
      <c r="B111" s="49">
        <v>1042.8499999999999</v>
      </c>
      <c r="C111" s="43">
        <f t="shared" si="4"/>
        <v>7.8377176875348287E-3</v>
      </c>
      <c r="D111" s="50">
        <v>1344.4590000000001</v>
      </c>
      <c r="E111" s="43">
        <f t="shared" si="5"/>
        <v>-2.4246879962376622E-2</v>
      </c>
      <c r="F111" s="48">
        <v>709.29</v>
      </c>
      <c r="G111" s="43">
        <f t="shared" si="6"/>
        <v>2.4875270306559116E-3</v>
      </c>
      <c r="H111" s="48">
        <v>817.58</v>
      </c>
      <c r="I111" s="43">
        <f t="shared" si="7"/>
        <v>1.22461975556587E-3</v>
      </c>
      <c r="J111" s="3"/>
      <c r="K111" s="3"/>
      <c r="L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x14ac:dyDescent="0.2">
      <c r="A112" s="41">
        <v>35520</v>
      </c>
      <c r="B112" s="49">
        <v>1000</v>
      </c>
      <c r="C112" s="43">
        <f t="shared" si="4"/>
        <v>-4.1089322529606287E-2</v>
      </c>
      <c r="D112" s="50">
        <v>1281.019</v>
      </c>
      <c r="E112" s="43">
        <f t="shared" si="5"/>
        <v>-4.7186265999930144E-2</v>
      </c>
      <c r="F112" s="48">
        <v>701.43</v>
      </c>
      <c r="G112" s="43">
        <f t="shared" si="6"/>
        <v>-1.1081504039250567E-2</v>
      </c>
      <c r="H112" s="48">
        <v>808.74</v>
      </c>
      <c r="I112" s="43">
        <f t="shared" si="7"/>
        <v>-1.0812397563541243E-2</v>
      </c>
      <c r="J112" s="3"/>
      <c r="K112" s="3"/>
      <c r="L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x14ac:dyDescent="0.2">
      <c r="A113" s="41">
        <v>35550</v>
      </c>
      <c r="B113" s="49">
        <v>1059.7</v>
      </c>
      <c r="C113" s="43">
        <f t="shared" si="4"/>
        <v>5.9700000000000086E-2</v>
      </c>
      <c r="D113" s="50">
        <v>1284.5899999999999</v>
      </c>
      <c r="E113" s="43">
        <f t="shared" si="5"/>
        <v>2.7876245395266341E-3</v>
      </c>
      <c r="F113" s="48">
        <v>711.93</v>
      </c>
      <c r="G113" s="43">
        <f t="shared" si="6"/>
        <v>1.4969419614216717E-2</v>
      </c>
      <c r="H113" s="48">
        <v>820.35</v>
      </c>
      <c r="I113" s="43">
        <f t="shared" si="7"/>
        <v>1.4355664366792809E-2</v>
      </c>
      <c r="J113" s="3"/>
      <c r="K113" s="3"/>
      <c r="L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x14ac:dyDescent="0.2">
      <c r="A114" s="41">
        <v>35580</v>
      </c>
      <c r="B114" s="49">
        <v>1124.22</v>
      </c>
      <c r="C114" s="43">
        <f t="shared" si="4"/>
        <v>6.0885156176276212E-2</v>
      </c>
      <c r="D114" s="50">
        <v>1427.5</v>
      </c>
      <c r="E114" s="43">
        <f t="shared" si="5"/>
        <v>0.11124950373270859</v>
      </c>
      <c r="F114" s="48">
        <v>718.66</v>
      </c>
      <c r="G114" s="43">
        <f t="shared" si="6"/>
        <v>9.4531765763488096E-3</v>
      </c>
      <c r="H114" s="48">
        <v>827.44</v>
      </c>
      <c r="I114" s="43">
        <f t="shared" si="7"/>
        <v>8.6426525263607612E-3</v>
      </c>
      <c r="J114" s="3"/>
      <c r="K114" s="3"/>
      <c r="L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x14ac:dyDescent="0.2">
      <c r="A115" s="41">
        <v>35611</v>
      </c>
      <c r="B115" s="49">
        <v>1174.5899999999999</v>
      </c>
      <c r="C115" s="43">
        <f t="shared" si="4"/>
        <v>4.4804397715749511E-2</v>
      </c>
      <c r="D115" s="50">
        <v>1488.6759999999999</v>
      </c>
      <c r="E115" s="43">
        <f t="shared" si="5"/>
        <v>4.2855341506129463E-2</v>
      </c>
      <c r="F115" s="48">
        <v>727.19</v>
      </c>
      <c r="G115" s="43">
        <f t="shared" si="6"/>
        <v>1.186931233128341E-2</v>
      </c>
      <c r="H115" s="48">
        <v>836.68</v>
      </c>
      <c r="I115" s="43">
        <f t="shared" si="7"/>
        <v>1.116697283186685E-2</v>
      </c>
      <c r="J115" s="3"/>
      <c r="K115" s="3"/>
      <c r="L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x14ac:dyDescent="0.2">
      <c r="A116" s="41">
        <v>35642</v>
      </c>
      <c r="B116" s="49">
        <v>1268.05</v>
      </c>
      <c r="C116" s="43">
        <f t="shared" si="4"/>
        <v>7.9568189751317409E-2</v>
      </c>
      <c r="D116" s="50">
        <v>1557.9480000000001</v>
      </c>
      <c r="E116" s="43">
        <f t="shared" si="5"/>
        <v>4.6532623619914615E-2</v>
      </c>
      <c r="F116" s="48">
        <v>746.8</v>
      </c>
      <c r="G116" s="43">
        <f t="shared" si="6"/>
        <v>2.6966817475487792E-2</v>
      </c>
      <c r="H116" s="48">
        <v>860.68</v>
      </c>
      <c r="I116" s="43">
        <f t="shared" si="7"/>
        <v>2.8684801835827223E-2</v>
      </c>
      <c r="J116" s="3"/>
      <c r="K116" s="3"/>
      <c r="L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x14ac:dyDescent="0.2">
      <c r="A117" s="41">
        <v>35671</v>
      </c>
      <c r="B117" s="49">
        <v>1197.01</v>
      </c>
      <c r="C117" s="43">
        <f t="shared" si="4"/>
        <v>-5.6023027483143362E-2</v>
      </c>
      <c r="D117" s="50">
        <v>1593.595</v>
      </c>
      <c r="E117" s="43">
        <f t="shared" si="5"/>
        <v>2.288073799639001E-2</v>
      </c>
      <c r="F117" s="48">
        <v>740.43</v>
      </c>
      <c r="G117" s="43">
        <f t="shared" si="6"/>
        <v>-8.5297268344938226E-3</v>
      </c>
      <c r="H117" s="48">
        <v>851.96</v>
      </c>
      <c r="I117" s="43">
        <f t="shared" si="7"/>
        <v>-1.0131523911325879E-2</v>
      </c>
      <c r="J117" s="3"/>
      <c r="K117" s="3"/>
      <c r="L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x14ac:dyDescent="0.2">
      <c r="A118" s="41">
        <v>35703</v>
      </c>
      <c r="B118" s="49">
        <v>1262.56</v>
      </c>
      <c r="C118" s="43">
        <f t="shared" si="4"/>
        <v>5.4761447272787978E-2</v>
      </c>
      <c r="D118" s="50">
        <v>1710.2370000000001</v>
      </c>
      <c r="E118" s="43">
        <f t="shared" si="5"/>
        <v>7.3194255755069548E-2</v>
      </c>
      <c r="F118" s="48">
        <v>751.35</v>
      </c>
      <c r="G118" s="43">
        <f t="shared" si="6"/>
        <v>1.4748186864389723E-2</v>
      </c>
      <c r="H118" s="48">
        <v>864.9</v>
      </c>
      <c r="I118" s="43">
        <f t="shared" si="7"/>
        <v>1.5188506502652688E-2</v>
      </c>
      <c r="J118" s="3"/>
      <c r="K118" s="3"/>
      <c r="L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x14ac:dyDescent="0.2">
      <c r="A119" s="41">
        <v>35734</v>
      </c>
      <c r="B119" s="49">
        <v>1220.4000000000001</v>
      </c>
      <c r="C119" s="43">
        <f t="shared" si="4"/>
        <v>-3.3392472436953424E-2</v>
      </c>
      <c r="D119" s="50">
        <v>1635.1089999999999</v>
      </c>
      <c r="E119" s="43">
        <f t="shared" si="5"/>
        <v>-4.3928414599847976E-2</v>
      </c>
      <c r="F119" s="48">
        <v>762.25</v>
      </c>
      <c r="G119" s="43">
        <f t="shared" si="6"/>
        <v>1.4507220336727134E-2</v>
      </c>
      <c r="H119" s="48">
        <v>879.96</v>
      </c>
      <c r="I119" s="43">
        <f t="shared" si="7"/>
        <v>1.7412417620534137E-2</v>
      </c>
      <c r="J119" s="3"/>
      <c r="K119" s="3"/>
      <c r="L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x14ac:dyDescent="0.2">
      <c r="A120" s="41">
        <v>35762</v>
      </c>
      <c r="B120" s="49">
        <v>1276.8900000000001</v>
      </c>
      <c r="C120" s="43">
        <f t="shared" si="4"/>
        <v>4.6288102261553554E-2</v>
      </c>
      <c r="D120" s="50">
        <v>1624.5329999999999</v>
      </c>
      <c r="E120" s="43">
        <f t="shared" si="5"/>
        <v>-6.468070324363695E-3</v>
      </c>
      <c r="F120" s="48">
        <v>765.76</v>
      </c>
      <c r="G120" s="43">
        <f t="shared" si="6"/>
        <v>4.6047884552311569E-3</v>
      </c>
      <c r="H120" s="48">
        <v>884.55</v>
      </c>
      <c r="I120" s="43">
        <f t="shared" si="7"/>
        <v>5.216146188463E-3</v>
      </c>
      <c r="J120" s="3"/>
      <c r="K120" s="3"/>
      <c r="L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x14ac:dyDescent="0.2">
      <c r="A121" s="41">
        <v>35795</v>
      </c>
      <c r="B121" s="49">
        <v>1298.82</v>
      </c>
      <c r="C121" s="43">
        <f t="shared" si="4"/>
        <v>1.7174541268237586E-2</v>
      </c>
      <c r="D121" s="50">
        <v>1652.9670000000001</v>
      </c>
      <c r="E121" s="43">
        <f t="shared" si="5"/>
        <v>1.7502876211194396E-2</v>
      </c>
      <c r="F121" s="48">
        <v>773.47</v>
      </c>
      <c r="G121" s="43">
        <f t="shared" si="6"/>
        <v>1.0068428750522385E-2</v>
      </c>
      <c r="H121" s="48">
        <v>893.86</v>
      </c>
      <c r="I121" s="43">
        <f t="shared" si="7"/>
        <v>1.0525125770165733E-2</v>
      </c>
      <c r="J121" s="3"/>
      <c r="K121" s="3"/>
      <c r="L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x14ac:dyDescent="0.2">
      <c r="A122" s="41">
        <v>35825</v>
      </c>
      <c r="B122" s="49">
        <v>1313.19</v>
      </c>
      <c r="C122" s="43">
        <f t="shared" si="4"/>
        <v>1.1063888760567409E-2</v>
      </c>
      <c r="D122" s="50">
        <v>1626.88</v>
      </c>
      <c r="E122" s="43">
        <f t="shared" si="5"/>
        <v>-1.5781924261040858E-2</v>
      </c>
      <c r="F122" s="48">
        <v>783.4</v>
      </c>
      <c r="G122" s="43">
        <f t="shared" si="6"/>
        <v>1.2838248412995856E-2</v>
      </c>
      <c r="H122" s="48">
        <v>907.55</v>
      </c>
      <c r="I122" s="43">
        <f t="shared" si="7"/>
        <v>1.5315597520864532E-2</v>
      </c>
      <c r="J122" s="3"/>
      <c r="K122" s="3"/>
      <c r="L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x14ac:dyDescent="0.2">
      <c r="A123" s="41">
        <v>35853</v>
      </c>
      <c r="B123" s="49">
        <v>1407.9</v>
      </c>
      <c r="C123" s="43">
        <f t="shared" si="4"/>
        <v>7.2122084389920849E-2</v>
      </c>
      <c r="D123" s="50">
        <v>1747.1769999999999</v>
      </c>
      <c r="E123" s="43">
        <f t="shared" si="5"/>
        <v>7.3943376278520656E-2</v>
      </c>
      <c r="F123" s="48">
        <v>782.81</v>
      </c>
      <c r="G123" s="43">
        <f t="shared" si="6"/>
        <v>-7.5312739341337753E-4</v>
      </c>
      <c r="H123" s="48">
        <v>904.85</v>
      </c>
      <c r="I123" s="43">
        <f t="shared" si="7"/>
        <v>-2.9750426973719213E-3</v>
      </c>
      <c r="J123" s="3"/>
      <c r="K123" s="3"/>
      <c r="L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x14ac:dyDescent="0.2">
      <c r="A124" s="41">
        <v>35885</v>
      </c>
      <c r="B124" s="49">
        <v>1480</v>
      </c>
      <c r="C124" s="43">
        <f t="shared" si="4"/>
        <v>5.1211023510192355E-2</v>
      </c>
      <c r="D124" s="50">
        <v>1819.2349999999999</v>
      </c>
      <c r="E124" s="43">
        <f t="shared" si="5"/>
        <v>4.1242530092829854E-2</v>
      </c>
      <c r="F124" s="48">
        <v>785.5</v>
      </c>
      <c r="G124" s="43">
        <f t="shared" si="6"/>
        <v>3.4363383196434061E-3</v>
      </c>
      <c r="H124" s="48">
        <v>907.32</v>
      </c>
      <c r="I124" s="43">
        <f t="shared" si="7"/>
        <v>2.7297342100900401E-3</v>
      </c>
      <c r="J124" s="3"/>
      <c r="K124" s="3"/>
      <c r="L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x14ac:dyDescent="0.2">
      <c r="A125" s="41">
        <v>35915</v>
      </c>
      <c r="B125" s="49">
        <v>1494.89</v>
      </c>
      <c r="C125" s="43">
        <f t="shared" si="4"/>
        <v>1.0060810810810894E-2</v>
      </c>
      <c r="D125" s="50">
        <v>1829.3009999999999</v>
      </c>
      <c r="E125" s="43">
        <f t="shared" si="5"/>
        <v>5.5330949547474084E-3</v>
      </c>
      <c r="F125" s="48">
        <v>789.6</v>
      </c>
      <c r="G125" s="43">
        <f t="shared" si="6"/>
        <v>5.2196053469129033E-3</v>
      </c>
      <c r="H125" s="48">
        <v>911.36</v>
      </c>
      <c r="I125" s="43">
        <f t="shared" si="7"/>
        <v>4.4526738085790551E-3</v>
      </c>
      <c r="J125" s="3"/>
      <c r="K125" s="3"/>
      <c r="L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x14ac:dyDescent="0.2">
      <c r="A126" s="41">
        <v>35944</v>
      </c>
      <c r="B126" s="49">
        <v>1469.19</v>
      </c>
      <c r="C126" s="43">
        <f t="shared" si="4"/>
        <v>-1.7191900407387828E-2</v>
      </c>
      <c r="D126" s="50">
        <v>1730.7809999999999</v>
      </c>
      <c r="E126" s="43">
        <f t="shared" si="5"/>
        <v>-5.3856637043329658E-2</v>
      </c>
      <c r="F126" s="48">
        <v>797.09</v>
      </c>
      <c r="G126" s="43">
        <f t="shared" si="6"/>
        <v>9.485815602836789E-3</v>
      </c>
      <c r="H126" s="48">
        <v>920.83</v>
      </c>
      <c r="I126" s="43">
        <f t="shared" si="7"/>
        <v>1.0391063904494402E-2</v>
      </c>
      <c r="J126" s="3"/>
      <c r="K126" s="3"/>
      <c r="L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x14ac:dyDescent="0.2">
      <c r="A127" s="41">
        <v>35976</v>
      </c>
      <c r="B127" s="49">
        <v>1528.87</v>
      </c>
      <c r="C127" s="43">
        <f t="shared" si="4"/>
        <v>4.0621022468162682E-2</v>
      </c>
      <c r="D127" s="50">
        <v>1734.422</v>
      </c>
      <c r="E127" s="43">
        <f t="shared" si="5"/>
        <v>2.1036745839018156E-3</v>
      </c>
      <c r="F127" s="48">
        <v>803.85</v>
      </c>
      <c r="G127" s="43">
        <f t="shared" si="6"/>
        <v>8.4808490885597276E-3</v>
      </c>
      <c r="H127" s="48">
        <v>931.44</v>
      </c>
      <c r="I127" s="43">
        <f t="shared" si="7"/>
        <v>1.1522213655072111E-2</v>
      </c>
      <c r="J127" s="3"/>
      <c r="K127" s="3"/>
      <c r="L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x14ac:dyDescent="0.2">
      <c r="A128" s="41">
        <v>36007</v>
      </c>
      <c r="B128" s="49">
        <v>1512.59</v>
      </c>
      <c r="C128" s="43">
        <f t="shared" si="4"/>
        <v>-1.0648387371064882E-2</v>
      </c>
      <c r="D128" s="50">
        <v>1594.0139999999999</v>
      </c>
      <c r="E128" s="43">
        <f t="shared" si="5"/>
        <v>-8.0953770189723273E-2</v>
      </c>
      <c r="F128" s="48">
        <v>805.56</v>
      </c>
      <c r="G128" s="43">
        <f t="shared" si="6"/>
        <v>2.1272625489829888E-3</v>
      </c>
      <c r="H128" s="48">
        <v>932.9</v>
      </c>
      <c r="I128" s="43">
        <f t="shared" si="7"/>
        <v>1.5674654298718504E-3</v>
      </c>
      <c r="J128" s="3"/>
      <c r="K128" s="3"/>
      <c r="L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x14ac:dyDescent="0.2">
      <c r="A129" s="41">
        <v>36038</v>
      </c>
      <c r="B129" s="49">
        <v>1293.9000000000001</v>
      </c>
      <c r="C129" s="43">
        <f t="shared" si="4"/>
        <v>-0.14457982665494273</v>
      </c>
      <c r="D129" s="50">
        <v>1284.489</v>
      </c>
      <c r="E129" s="43">
        <f t="shared" si="5"/>
        <v>-0.19417959942635377</v>
      </c>
      <c r="F129" s="48">
        <v>818.67</v>
      </c>
      <c r="G129" s="43">
        <f t="shared" si="6"/>
        <v>1.6274392968866458E-2</v>
      </c>
      <c r="H129" s="48">
        <v>958.24</v>
      </c>
      <c r="I129" s="43">
        <f t="shared" si="7"/>
        <v>2.7162611212348642E-2</v>
      </c>
      <c r="J129" s="3"/>
      <c r="K129" s="3"/>
      <c r="L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x14ac:dyDescent="0.2">
      <c r="A130" s="41">
        <v>36068</v>
      </c>
      <c r="B130" s="49">
        <v>1376.79</v>
      </c>
      <c r="C130" s="43">
        <f t="shared" si="4"/>
        <v>6.4062137723162493E-2</v>
      </c>
      <c r="D130" s="50">
        <v>1385.01</v>
      </c>
      <c r="E130" s="43">
        <f t="shared" si="5"/>
        <v>7.8257579473237859E-2</v>
      </c>
      <c r="F130" s="48">
        <v>837.84</v>
      </c>
      <c r="G130" s="43">
        <f t="shared" si="6"/>
        <v>2.3416028436366476E-2</v>
      </c>
      <c r="H130" s="48">
        <v>984.95</v>
      </c>
      <c r="I130" s="43">
        <f t="shared" si="7"/>
        <v>2.787401903489739E-2</v>
      </c>
      <c r="J130" s="3"/>
      <c r="K130" s="3"/>
      <c r="L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x14ac:dyDescent="0.2">
      <c r="A131" s="41">
        <v>36098</v>
      </c>
      <c r="B131" s="49">
        <v>1488.78</v>
      </c>
      <c r="C131" s="43">
        <f t="shared" si="4"/>
        <v>8.1341381038502636E-2</v>
      </c>
      <c r="D131" s="50">
        <v>1441.4949999999999</v>
      </c>
      <c r="E131" s="43">
        <f t="shared" si="5"/>
        <v>4.0783099038996129E-2</v>
      </c>
      <c r="F131" s="48">
        <v>833.42</v>
      </c>
      <c r="G131" s="43">
        <f t="shared" si="6"/>
        <v>-5.2754702568510448E-3</v>
      </c>
      <c r="H131" s="48">
        <v>981.8</v>
      </c>
      <c r="I131" s="43">
        <f t="shared" si="7"/>
        <v>-3.1981318848673945E-3</v>
      </c>
      <c r="J131" s="3"/>
      <c r="K131" s="3"/>
      <c r="L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x14ac:dyDescent="0.2">
      <c r="A132" s="41">
        <v>36129</v>
      </c>
      <c r="B132" s="49">
        <v>1579.02</v>
      </c>
      <c r="C132" s="43">
        <f t="shared" ref="C132:C195" si="8">B132/B131-1</f>
        <v>6.0613388143311964E-2</v>
      </c>
      <c r="D132" s="50">
        <v>1517.019</v>
      </c>
      <c r="E132" s="43">
        <f t="shared" ref="E132:E195" si="9">D132/D131-1</f>
        <v>5.2392828278974291E-2</v>
      </c>
      <c r="F132" s="48">
        <v>838.14</v>
      </c>
      <c r="G132" s="43">
        <f t="shared" ref="G132:G195" si="10">F132/F131-1</f>
        <v>5.6634110052555808E-3</v>
      </c>
      <c r="H132" s="48">
        <v>981.58</v>
      </c>
      <c r="I132" s="43">
        <f t="shared" ref="I132:I195" si="11">H132/H131-1</f>
        <v>-2.2407822367076502E-4</v>
      </c>
      <c r="J132" s="3"/>
      <c r="K132" s="3"/>
      <c r="L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x14ac:dyDescent="0.2">
      <c r="A133" s="41">
        <v>36160</v>
      </c>
      <c r="B133" s="49">
        <v>1670.01</v>
      </c>
      <c r="C133" s="43">
        <f t="shared" si="8"/>
        <v>5.7624349279933096E-2</v>
      </c>
      <c r="D133" s="50">
        <v>1610.895</v>
      </c>
      <c r="E133" s="43">
        <f t="shared" si="9"/>
        <v>6.1881888097644167E-2</v>
      </c>
      <c r="F133" s="48">
        <v>840.66</v>
      </c>
      <c r="G133" s="43">
        <f t="shared" si="10"/>
        <v>3.0066575989691202E-3</v>
      </c>
      <c r="H133" s="48">
        <v>983.5</v>
      </c>
      <c r="I133" s="43">
        <f t="shared" si="11"/>
        <v>1.9560300739622782E-3</v>
      </c>
      <c r="J133" s="3"/>
      <c r="K133" s="3"/>
      <c r="L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x14ac:dyDescent="0.2">
      <c r="A134" s="41">
        <v>36189</v>
      </c>
      <c r="B134" s="49">
        <v>1739.84</v>
      </c>
      <c r="C134" s="43">
        <f t="shared" si="8"/>
        <v>4.1814120873527649E-2</v>
      </c>
      <c r="D134" s="50">
        <v>1632.3019999999999</v>
      </c>
      <c r="E134" s="43">
        <f t="shared" si="9"/>
        <v>1.328888599194844E-2</v>
      </c>
      <c r="F134" s="48">
        <v>846.66</v>
      </c>
      <c r="G134" s="43">
        <f t="shared" si="10"/>
        <v>7.1372493041181873E-3</v>
      </c>
      <c r="H134" s="48">
        <v>989.21</v>
      </c>
      <c r="I134" s="43">
        <f t="shared" si="11"/>
        <v>5.8057956278596556E-3</v>
      </c>
      <c r="J134" s="3"/>
      <c r="K134" s="3"/>
      <c r="L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x14ac:dyDescent="0.2">
      <c r="A135" s="41">
        <v>36217</v>
      </c>
      <c r="B135" s="49">
        <v>1685.77</v>
      </c>
      <c r="C135" s="43">
        <f t="shared" si="8"/>
        <v>-3.1077570351296657E-2</v>
      </c>
      <c r="D135" s="50">
        <v>1500.0940000000001</v>
      </c>
      <c r="E135" s="43">
        <f t="shared" si="9"/>
        <v>-8.0994815910291007E-2</v>
      </c>
      <c r="F135" s="48">
        <v>831.88</v>
      </c>
      <c r="G135" s="43">
        <f t="shared" si="10"/>
        <v>-1.7456830368743015E-2</v>
      </c>
      <c r="H135" s="48">
        <v>963.96</v>
      </c>
      <c r="I135" s="43">
        <f t="shared" si="11"/>
        <v>-2.5525419273966121E-2</v>
      </c>
      <c r="J135" s="3"/>
      <c r="K135" s="3"/>
      <c r="L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x14ac:dyDescent="0.2">
      <c r="A136" s="41">
        <v>36250</v>
      </c>
      <c r="B136" s="49">
        <v>1753.21</v>
      </c>
      <c r="C136" s="43">
        <f t="shared" si="8"/>
        <v>4.000545744674544E-2</v>
      </c>
      <c r="D136" s="50">
        <v>1523.5129999999999</v>
      </c>
      <c r="E136" s="43">
        <f t="shared" si="9"/>
        <v>1.5611688334197682E-2</v>
      </c>
      <c r="F136" s="48">
        <v>836.49</v>
      </c>
      <c r="G136" s="43">
        <f t="shared" si="10"/>
        <v>5.5416646631725186E-3</v>
      </c>
      <c r="H136" s="48">
        <v>967.66</v>
      </c>
      <c r="I136" s="43">
        <f t="shared" si="11"/>
        <v>3.8383335408107566E-3</v>
      </c>
      <c r="J136" s="3"/>
      <c r="K136" s="3"/>
      <c r="L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x14ac:dyDescent="0.2">
      <c r="A137" s="41">
        <v>36280</v>
      </c>
      <c r="B137" s="49">
        <v>1821.11</v>
      </c>
      <c r="C137" s="43">
        <f t="shared" si="8"/>
        <v>3.8728960021902514E-2</v>
      </c>
      <c r="D137" s="50">
        <v>1660.0309999999999</v>
      </c>
      <c r="E137" s="43">
        <f t="shared" si="9"/>
        <v>8.9607374535038531E-2</v>
      </c>
      <c r="F137" s="48">
        <v>839.14</v>
      </c>
      <c r="G137" s="43">
        <f t="shared" si="10"/>
        <v>3.1679996174491798E-3</v>
      </c>
      <c r="H137" s="48">
        <v>969.96</v>
      </c>
      <c r="I137" s="43">
        <f t="shared" si="11"/>
        <v>2.3768679081497268E-3</v>
      </c>
      <c r="J137" s="3"/>
      <c r="K137" s="3"/>
      <c r="L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x14ac:dyDescent="0.2">
      <c r="A138" s="41">
        <v>36311</v>
      </c>
      <c r="B138" s="49">
        <v>1778.1</v>
      </c>
      <c r="C138" s="43">
        <f t="shared" si="8"/>
        <v>-2.3617464074108696E-2</v>
      </c>
      <c r="D138" s="50">
        <v>1684.279</v>
      </c>
      <c r="E138" s="43">
        <f t="shared" si="9"/>
        <v>1.4606956135156501E-2</v>
      </c>
      <c r="F138" s="48">
        <v>831.79</v>
      </c>
      <c r="G138" s="43">
        <f t="shared" si="10"/>
        <v>-8.7589675143600054E-3</v>
      </c>
      <c r="H138" s="48">
        <v>960.91</v>
      </c>
      <c r="I138" s="43">
        <f t="shared" si="11"/>
        <v>-9.3302816610995043E-3</v>
      </c>
      <c r="J138" s="3"/>
      <c r="K138" s="3"/>
      <c r="L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x14ac:dyDescent="0.2">
      <c r="A139" s="41">
        <v>36341</v>
      </c>
      <c r="B139" s="49">
        <v>1876.78</v>
      </c>
      <c r="C139" s="43">
        <f t="shared" si="8"/>
        <v>5.5497441088802724E-2</v>
      </c>
      <c r="D139" s="50">
        <v>1760.442</v>
      </c>
      <c r="E139" s="43">
        <f t="shared" si="9"/>
        <v>4.5219942776701494E-2</v>
      </c>
      <c r="F139" s="48">
        <v>829.14</v>
      </c>
      <c r="G139" s="43">
        <f t="shared" si="10"/>
        <v>-3.1859002873321218E-3</v>
      </c>
      <c r="H139" s="48">
        <v>958.9</v>
      </c>
      <c r="I139" s="43">
        <f t="shared" si="11"/>
        <v>-2.0917671790282588E-3</v>
      </c>
      <c r="J139" s="3"/>
      <c r="K139" s="3"/>
      <c r="L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x14ac:dyDescent="0.2">
      <c r="A140" s="41">
        <v>36371</v>
      </c>
      <c r="B140" s="49">
        <v>1818.18</v>
      </c>
      <c r="C140" s="43">
        <f t="shared" si="8"/>
        <v>-3.122369164206773E-2</v>
      </c>
      <c r="D140" s="50">
        <v>1712.136</v>
      </c>
      <c r="E140" s="43">
        <f t="shared" si="9"/>
        <v>-2.7439699802663253E-2</v>
      </c>
      <c r="F140" s="48">
        <v>825.61</v>
      </c>
      <c r="G140" s="43">
        <f t="shared" si="10"/>
        <v>-4.25742335431889E-3</v>
      </c>
      <c r="H140" s="48">
        <v>958.09</v>
      </c>
      <c r="I140" s="43">
        <f t="shared" si="11"/>
        <v>-8.447179059338783E-4</v>
      </c>
      <c r="J140" s="3"/>
      <c r="K140" s="3"/>
      <c r="L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x14ac:dyDescent="0.2">
      <c r="A141" s="41">
        <v>36403</v>
      </c>
      <c r="B141" s="49">
        <v>1809.19</v>
      </c>
      <c r="C141" s="43">
        <f t="shared" si="8"/>
        <v>-4.9445049445049349E-3</v>
      </c>
      <c r="D141" s="50">
        <v>1648.7719999999999</v>
      </c>
      <c r="E141" s="43">
        <f t="shared" si="9"/>
        <v>-3.7008742296172792E-2</v>
      </c>
      <c r="F141" s="48">
        <v>825.19</v>
      </c>
      <c r="G141" s="43">
        <f t="shared" si="10"/>
        <v>-5.0871476847413888E-4</v>
      </c>
      <c r="H141" s="48">
        <v>958.23</v>
      </c>
      <c r="I141" s="43">
        <f t="shared" si="11"/>
        <v>1.4612405932634687E-4</v>
      </c>
      <c r="J141" s="3"/>
      <c r="K141" s="3"/>
      <c r="L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x14ac:dyDescent="0.2">
      <c r="A142" s="41">
        <v>36433</v>
      </c>
      <c r="B142" s="49">
        <v>1759.59</v>
      </c>
      <c r="C142" s="43">
        <f t="shared" si="8"/>
        <v>-2.7415583769532348E-2</v>
      </c>
      <c r="D142" s="50">
        <v>1649.1320000000001</v>
      </c>
      <c r="E142" s="43">
        <f t="shared" si="9"/>
        <v>2.1834431928735576E-4</v>
      </c>
      <c r="F142" s="48">
        <v>834.77</v>
      </c>
      <c r="G142" s="43">
        <f t="shared" si="10"/>
        <v>1.1609447521176763E-2</v>
      </c>
      <c r="H142" s="48">
        <v>965.57</v>
      </c>
      <c r="I142" s="43">
        <f t="shared" si="11"/>
        <v>7.6599563779051749E-3</v>
      </c>
      <c r="J142" s="3"/>
      <c r="K142" s="3"/>
      <c r="L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x14ac:dyDescent="0.2">
      <c r="A143" s="41">
        <v>36462</v>
      </c>
      <c r="B143" s="49">
        <v>1870.94</v>
      </c>
      <c r="C143" s="43">
        <f t="shared" si="8"/>
        <v>6.3281787234526377E-2</v>
      </c>
      <c r="D143" s="50">
        <v>1655.8109999999999</v>
      </c>
      <c r="E143" s="43">
        <f t="shared" si="9"/>
        <v>4.0500093382458413E-3</v>
      </c>
      <c r="F143" s="48">
        <v>837.85</v>
      </c>
      <c r="G143" s="43">
        <f t="shared" si="10"/>
        <v>3.6896390622567221E-3</v>
      </c>
      <c r="H143" s="48">
        <v>966.62</v>
      </c>
      <c r="I143" s="43">
        <f t="shared" si="11"/>
        <v>1.0874405791396757E-3</v>
      </c>
      <c r="J143" s="3"/>
      <c r="K143" s="3"/>
      <c r="L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x14ac:dyDescent="0.2">
      <c r="A144" s="41">
        <v>36494</v>
      </c>
      <c r="B144" s="49">
        <v>1908.97</v>
      </c>
      <c r="C144" s="43">
        <f t="shared" si="8"/>
        <v>2.0326680705955225E-2</v>
      </c>
      <c r="D144" s="50">
        <v>1754.6790000000001</v>
      </c>
      <c r="E144" s="43">
        <f t="shared" si="9"/>
        <v>5.9709713246258289E-2</v>
      </c>
      <c r="F144" s="48">
        <v>837.79</v>
      </c>
      <c r="G144" s="43">
        <f t="shared" si="10"/>
        <v>-7.1611863698861633E-5</v>
      </c>
      <c r="H144" s="48">
        <v>964.78</v>
      </c>
      <c r="I144" s="43">
        <f t="shared" si="11"/>
        <v>-1.9035401709048827E-3</v>
      </c>
      <c r="J144" s="3"/>
      <c r="K144" s="3"/>
      <c r="L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x14ac:dyDescent="0.2">
      <c r="A145" s="41">
        <v>36525</v>
      </c>
      <c r="B145" s="49">
        <v>2021.4</v>
      </c>
      <c r="C145" s="43">
        <f t="shared" si="8"/>
        <v>5.8895634818776577E-2</v>
      </c>
      <c r="D145" s="50">
        <v>1953.308</v>
      </c>
      <c r="E145" s="43">
        <f t="shared" si="9"/>
        <v>0.11319962226709257</v>
      </c>
      <c r="F145" s="48">
        <v>833.75</v>
      </c>
      <c r="G145" s="43">
        <f t="shared" si="10"/>
        <v>-4.8222108165529853E-3</v>
      </c>
      <c r="H145" s="48">
        <v>958.37</v>
      </c>
      <c r="I145" s="43">
        <f t="shared" si="11"/>
        <v>-6.6440017413296193E-3</v>
      </c>
      <c r="J145" s="3"/>
      <c r="K145" s="3"/>
      <c r="L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x14ac:dyDescent="0.2">
      <c r="A146" s="41">
        <v>36556</v>
      </c>
      <c r="B146" s="49">
        <v>1919.84</v>
      </c>
      <c r="C146" s="43">
        <f t="shared" si="8"/>
        <v>-5.0242406253091954E-2</v>
      </c>
      <c r="D146" s="50">
        <v>1921.941</v>
      </c>
      <c r="E146" s="43">
        <f t="shared" si="9"/>
        <v>-1.6058399392210543E-2</v>
      </c>
      <c r="F146" s="48">
        <v>831.02</v>
      </c>
      <c r="G146" s="43">
        <f t="shared" si="10"/>
        <v>-3.2743628185907259E-3</v>
      </c>
      <c r="H146" s="48">
        <v>960.87</v>
      </c>
      <c r="I146" s="43">
        <f t="shared" si="11"/>
        <v>2.608595845028594E-3</v>
      </c>
      <c r="J146" s="3"/>
      <c r="K146" s="3"/>
      <c r="L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x14ac:dyDescent="0.2">
      <c r="A147" s="41">
        <v>36585</v>
      </c>
      <c r="B147" s="49">
        <v>1883.5</v>
      </c>
      <c r="C147" s="43">
        <f t="shared" si="8"/>
        <v>-1.892866072172672E-2</v>
      </c>
      <c r="D147" s="50">
        <v>2239.3220000000001</v>
      </c>
      <c r="E147" s="43">
        <f t="shared" si="9"/>
        <v>0.1651356623330269</v>
      </c>
      <c r="F147" s="48">
        <v>841.07</v>
      </c>
      <c r="G147" s="43">
        <f t="shared" si="10"/>
        <v>1.2093571755192434E-2</v>
      </c>
      <c r="H147" s="48">
        <v>975.32</v>
      </c>
      <c r="I147" s="43">
        <f t="shared" si="11"/>
        <v>1.5038454733730999E-2</v>
      </c>
      <c r="J147" s="3"/>
      <c r="K147" s="3"/>
      <c r="L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x14ac:dyDescent="0.2">
      <c r="A148" s="41">
        <v>36616</v>
      </c>
      <c r="B148" s="49">
        <v>2067.7600000000002</v>
      </c>
      <c r="C148" s="43">
        <f t="shared" si="8"/>
        <v>9.7828510751261089E-2</v>
      </c>
      <c r="D148" s="50">
        <v>2091.6819999999998</v>
      </c>
      <c r="E148" s="43">
        <f t="shared" si="9"/>
        <v>-6.5930670086749577E-2</v>
      </c>
      <c r="F148" s="48">
        <v>852.15</v>
      </c>
      <c r="G148" s="43">
        <f t="shared" si="10"/>
        <v>1.3173695411796693E-2</v>
      </c>
      <c r="H148" s="48">
        <v>994.69</v>
      </c>
      <c r="I148" s="43">
        <f t="shared" si="11"/>
        <v>1.9860148464093896E-2</v>
      </c>
      <c r="J148" s="3"/>
      <c r="K148" s="3"/>
      <c r="L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x14ac:dyDescent="0.2">
      <c r="A149" s="41">
        <v>36644</v>
      </c>
      <c r="B149" s="49">
        <v>2005.55</v>
      </c>
      <c r="C149" s="43">
        <f t="shared" si="8"/>
        <v>-3.0085696599218559E-2</v>
      </c>
      <c r="D149" s="50">
        <v>1965.8150000000001</v>
      </c>
      <c r="E149" s="43">
        <f t="shared" si="9"/>
        <v>-6.0175017043699652E-2</v>
      </c>
      <c r="F149" s="48">
        <v>849.71</v>
      </c>
      <c r="G149" s="43">
        <f t="shared" si="10"/>
        <v>-2.8633456551075964E-3</v>
      </c>
      <c r="H149" s="48">
        <v>991.54</v>
      </c>
      <c r="I149" s="43">
        <f t="shared" si="11"/>
        <v>-3.166815791854849E-3</v>
      </c>
      <c r="J149" s="3"/>
      <c r="K149" s="3"/>
      <c r="L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x14ac:dyDescent="0.2">
      <c r="A150" s="41">
        <v>36677</v>
      </c>
      <c r="B150" s="49">
        <v>1964.4</v>
      </c>
      <c r="C150" s="43">
        <f t="shared" si="8"/>
        <v>-2.0518062376904012E-2</v>
      </c>
      <c r="D150" s="50">
        <v>1851.2439999999999</v>
      </c>
      <c r="E150" s="43">
        <f t="shared" si="9"/>
        <v>-5.8281679608712E-2</v>
      </c>
      <c r="F150" s="48">
        <v>849.32</v>
      </c>
      <c r="G150" s="43">
        <f t="shared" si="10"/>
        <v>-4.5898012263001498E-4</v>
      </c>
      <c r="H150" s="48">
        <v>993.06</v>
      </c>
      <c r="I150" s="43">
        <f t="shared" si="11"/>
        <v>1.5329689170380245E-3</v>
      </c>
      <c r="J150" s="3"/>
      <c r="K150" s="3"/>
      <c r="L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x14ac:dyDescent="0.2">
      <c r="A151" s="41">
        <v>36707</v>
      </c>
      <c r="B151" s="49">
        <v>2012.83</v>
      </c>
      <c r="C151" s="43">
        <f t="shared" si="8"/>
        <v>2.465383832213397E-2</v>
      </c>
      <c r="D151" s="50">
        <v>2012.6189999999999</v>
      </c>
      <c r="E151" s="43">
        <f t="shared" si="9"/>
        <v>8.7171113046146331E-2</v>
      </c>
      <c r="F151" s="48">
        <v>866.99</v>
      </c>
      <c r="G151" s="43">
        <f t="shared" si="10"/>
        <v>2.0804879197475534E-2</v>
      </c>
      <c r="H151" s="48">
        <v>1009.8</v>
      </c>
      <c r="I151" s="43">
        <f t="shared" si="11"/>
        <v>1.6856987493202746E-2</v>
      </c>
      <c r="J151" s="3"/>
      <c r="K151" s="3"/>
      <c r="L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x14ac:dyDescent="0.2">
      <c r="A152" s="41">
        <v>36738</v>
      </c>
      <c r="B152" s="49">
        <v>1981.36</v>
      </c>
      <c r="C152" s="43">
        <f t="shared" si="8"/>
        <v>-1.5634703377831238E-2</v>
      </c>
      <c r="D152" s="50">
        <v>1947.867</v>
      </c>
      <c r="E152" s="43">
        <f t="shared" si="9"/>
        <v>-3.2173004428557972E-2</v>
      </c>
      <c r="F152" s="48">
        <v>874.86</v>
      </c>
      <c r="G152" s="43">
        <f t="shared" si="10"/>
        <v>9.0773826687735593E-3</v>
      </c>
      <c r="H152" s="48">
        <v>1020.2</v>
      </c>
      <c r="I152" s="43">
        <f t="shared" si="11"/>
        <v>1.0299069122598592E-2</v>
      </c>
      <c r="J152" s="3"/>
      <c r="K152" s="3"/>
      <c r="L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x14ac:dyDescent="0.2">
      <c r="A153" s="41">
        <v>36769</v>
      </c>
      <c r="B153" s="49">
        <v>2104.4299999999998</v>
      </c>
      <c r="C153" s="43">
        <f t="shared" si="8"/>
        <v>6.2113901562563134E-2</v>
      </c>
      <c r="D153" s="50">
        <v>2096.4899999999998</v>
      </c>
      <c r="E153" s="43">
        <f t="shared" si="9"/>
        <v>7.6300383958452844E-2</v>
      </c>
      <c r="F153" s="48">
        <v>887.54</v>
      </c>
      <c r="G153" s="43">
        <f t="shared" si="10"/>
        <v>1.4493747571039828E-2</v>
      </c>
      <c r="H153" s="48">
        <v>1035.18</v>
      </c>
      <c r="I153" s="43">
        <f t="shared" si="11"/>
        <v>1.4683395412664169E-2</v>
      </c>
      <c r="J153" s="3"/>
      <c r="K153" s="3"/>
      <c r="L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x14ac:dyDescent="0.2">
      <c r="A154" s="41">
        <v>36798</v>
      </c>
      <c r="B154" s="49">
        <v>1993.33</v>
      </c>
      <c r="C154" s="43">
        <f t="shared" si="8"/>
        <v>-5.2793392985273857E-2</v>
      </c>
      <c r="D154" s="50">
        <v>2034.874</v>
      </c>
      <c r="E154" s="43">
        <f t="shared" si="9"/>
        <v>-2.9390075793349735E-2</v>
      </c>
      <c r="F154" s="48">
        <v>893.12</v>
      </c>
      <c r="G154" s="43">
        <f t="shared" si="10"/>
        <v>6.2870405840864674E-3</v>
      </c>
      <c r="H154" s="48">
        <v>1036</v>
      </c>
      <c r="I154" s="43">
        <f t="shared" si="11"/>
        <v>7.9213276918022046E-4</v>
      </c>
      <c r="J154" s="3"/>
      <c r="K154" s="3"/>
      <c r="L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x14ac:dyDescent="0.2">
      <c r="A155" s="41">
        <v>36830</v>
      </c>
      <c r="B155" s="49">
        <v>1984.9</v>
      </c>
      <c r="C155" s="43">
        <f t="shared" si="8"/>
        <v>-4.2291040620467957E-3</v>
      </c>
      <c r="D155" s="50">
        <v>1944.037</v>
      </c>
      <c r="E155" s="43">
        <f t="shared" si="9"/>
        <v>-4.4640110395041677E-2</v>
      </c>
      <c r="F155" s="48">
        <v>899.03</v>
      </c>
      <c r="G155" s="43">
        <f t="shared" si="10"/>
        <v>6.6172518810461156E-3</v>
      </c>
      <c r="H155" s="48">
        <v>1046.0999999999999</v>
      </c>
      <c r="I155" s="43">
        <f t="shared" si="11"/>
        <v>9.7490347490347684E-3</v>
      </c>
      <c r="J155" s="3"/>
      <c r="K155" s="3"/>
      <c r="L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x14ac:dyDescent="0.2">
      <c r="A156" s="41">
        <v>36860</v>
      </c>
      <c r="B156" s="49">
        <v>1828.42</v>
      </c>
      <c r="C156" s="43">
        <f t="shared" si="8"/>
        <v>-7.8835205803818864E-2</v>
      </c>
      <c r="D156" s="50">
        <v>1744.479</v>
      </c>
      <c r="E156" s="43">
        <f t="shared" si="9"/>
        <v>-0.10265133842617191</v>
      </c>
      <c r="F156" s="48">
        <v>913.73</v>
      </c>
      <c r="G156" s="43">
        <f t="shared" si="10"/>
        <v>1.6350956030388275E-2</v>
      </c>
      <c r="H156" s="48">
        <v>1067.54</v>
      </c>
      <c r="I156" s="43">
        <f t="shared" si="11"/>
        <v>2.0495172545645701E-2</v>
      </c>
      <c r="J156" s="3"/>
      <c r="K156" s="3"/>
      <c r="L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x14ac:dyDescent="0.2">
      <c r="A157" s="41">
        <v>36889</v>
      </c>
      <c r="B157" s="49">
        <v>1837.36</v>
      </c>
      <c r="C157" s="43">
        <f t="shared" si="8"/>
        <v>4.8894674090196322E-3</v>
      </c>
      <c r="D157" s="50">
        <v>1894.299</v>
      </c>
      <c r="E157" s="43">
        <f t="shared" si="9"/>
        <v>8.5882375196262073E-2</v>
      </c>
      <c r="F157" s="48">
        <v>930.68</v>
      </c>
      <c r="G157" s="43">
        <f t="shared" si="10"/>
        <v>1.8550337627088798E-2</v>
      </c>
      <c r="H157" s="48">
        <v>1087.9100000000001</v>
      </c>
      <c r="I157" s="43">
        <f t="shared" si="11"/>
        <v>1.9081252224740997E-2</v>
      </c>
      <c r="J157" s="3"/>
      <c r="K157" s="3"/>
      <c r="L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x14ac:dyDescent="0.2">
      <c r="A158" s="41">
        <v>36922</v>
      </c>
      <c r="B158" s="49">
        <v>1902.55</v>
      </c>
      <c r="C158" s="43">
        <f t="shared" si="8"/>
        <v>3.5480254277876933E-2</v>
      </c>
      <c r="D158" s="50">
        <v>1992.922</v>
      </c>
      <c r="E158" s="43">
        <f t="shared" si="9"/>
        <v>5.2063058682921826E-2</v>
      </c>
      <c r="F158" s="48">
        <v>945.9</v>
      </c>
      <c r="G158" s="43">
        <f t="shared" si="10"/>
        <v>1.6353633902093101E-2</v>
      </c>
      <c r="H158" s="48">
        <v>1096.76</v>
      </c>
      <c r="I158" s="43">
        <f t="shared" si="11"/>
        <v>8.1348640972138675E-3</v>
      </c>
      <c r="J158" s="3"/>
      <c r="K158" s="3"/>
      <c r="L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x14ac:dyDescent="0.2">
      <c r="A159" s="41">
        <v>36950</v>
      </c>
      <c r="B159" s="49">
        <v>1729.07</v>
      </c>
      <c r="C159" s="43">
        <f t="shared" si="8"/>
        <v>-9.1182886126514373E-2</v>
      </c>
      <c r="D159" s="50">
        <v>1862.1579999999999</v>
      </c>
      <c r="E159" s="43">
        <f t="shared" si="9"/>
        <v>-6.5614208684534603E-2</v>
      </c>
      <c r="F159" s="48">
        <v>954.14</v>
      </c>
      <c r="G159" s="43">
        <f t="shared" si="10"/>
        <v>8.7112802621842622E-3</v>
      </c>
      <c r="H159" s="48">
        <v>1110.02</v>
      </c>
      <c r="I159" s="43">
        <f t="shared" si="11"/>
        <v>1.2090156460848211E-2</v>
      </c>
      <c r="J159" s="3"/>
      <c r="K159" s="3"/>
      <c r="L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x14ac:dyDescent="0.2">
      <c r="A160" s="41">
        <v>36980</v>
      </c>
      <c r="B160" s="49">
        <v>1619.54</v>
      </c>
      <c r="C160" s="43">
        <f t="shared" si="8"/>
        <v>-6.3346191883498104E-2</v>
      </c>
      <c r="D160" s="50">
        <v>1771.069</v>
      </c>
      <c r="E160" s="43">
        <f t="shared" si="9"/>
        <v>-4.8915827765420472E-2</v>
      </c>
      <c r="F160" s="48">
        <v>958.93</v>
      </c>
      <c r="G160" s="43">
        <f t="shared" si="10"/>
        <v>5.0202276395496792E-3</v>
      </c>
      <c r="H160" s="48">
        <v>1113.58</v>
      </c>
      <c r="I160" s="43">
        <f t="shared" si="11"/>
        <v>3.2071494207310813E-3</v>
      </c>
      <c r="J160" s="3"/>
      <c r="K160" s="3"/>
      <c r="L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x14ac:dyDescent="0.2">
      <c r="A161" s="41">
        <v>37011</v>
      </c>
      <c r="B161" s="49">
        <v>1745.39</v>
      </c>
      <c r="C161" s="43">
        <f t="shared" si="8"/>
        <v>7.7707250206848988E-2</v>
      </c>
      <c r="D161" s="50">
        <v>1909.6189999999999</v>
      </c>
      <c r="E161" s="43">
        <f t="shared" si="9"/>
        <v>7.8229589022223323E-2</v>
      </c>
      <c r="F161" s="48">
        <v>954.95</v>
      </c>
      <c r="G161" s="43">
        <f t="shared" si="10"/>
        <v>-4.1504593661684241E-3</v>
      </c>
      <c r="H161" s="48">
        <v>1099.74</v>
      </c>
      <c r="I161" s="43">
        <f t="shared" si="11"/>
        <v>-1.2428384130461989E-2</v>
      </c>
      <c r="J161" s="3"/>
      <c r="K161" s="3"/>
      <c r="L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x14ac:dyDescent="0.2">
      <c r="A162" s="41">
        <v>37042</v>
      </c>
      <c r="B162" s="49">
        <v>1757.09</v>
      </c>
      <c r="C162" s="43">
        <f t="shared" si="8"/>
        <v>6.7033728851431107E-3</v>
      </c>
      <c r="D162" s="50">
        <v>1956.557</v>
      </c>
      <c r="E162" s="43">
        <f t="shared" si="9"/>
        <v>2.4579772195396199E-2</v>
      </c>
      <c r="F162" s="48">
        <v>960.71</v>
      </c>
      <c r="G162" s="43">
        <f t="shared" si="10"/>
        <v>6.0317294099168084E-3</v>
      </c>
      <c r="H162" s="48">
        <v>1103.17</v>
      </c>
      <c r="I162" s="43">
        <f t="shared" si="11"/>
        <v>3.1189190172222769E-3</v>
      </c>
      <c r="J162" s="3"/>
      <c r="K162" s="3"/>
      <c r="L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x14ac:dyDescent="0.2">
      <c r="A163" s="41">
        <v>37071</v>
      </c>
      <c r="B163" s="49">
        <v>1714.32</v>
      </c>
      <c r="C163" s="43">
        <f t="shared" si="8"/>
        <v>-2.4341382626957064E-2</v>
      </c>
      <c r="D163" s="50">
        <v>2024.116</v>
      </c>
      <c r="E163" s="43">
        <f t="shared" si="9"/>
        <v>3.4529533256633993E-2</v>
      </c>
      <c r="F163" s="48">
        <v>964.34</v>
      </c>
      <c r="G163" s="43">
        <f t="shared" si="10"/>
        <v>3.7784555172737377E-3</v>
      </c>
      <c r="H163" s="48">
        <v>1109.0899999999999</v>
      </c>
      <c r="I163" s="43">
        <f t="shared" si="11"/>
        <v>5.3663533272296782E-3</v>
      </c>
      <c r="J163" s="3"/>
      <c r="K163" s="3"/>
      <c r="L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x14ac:dyDescent="0.2">
      <c r="A164" s="41">
        <v>37103</v>
      </c>
      <c r="B164" s="49">
        <v>1697.44</v>
      </c>
      <c r="C164" s="43">
        <f t="shared" si="8"/>
        <v>-9.846469737271879E-3</v>
      </c>
      <c r="D164" s="50">
        <v>1914.5519999999999</v>
      </c>
      <c r="E164" s="43">
        <f t="shared" si="9"/>
        <v>-5.4129308794555242E-2</v>
      </c>
      <c r="F164" s="48">
        <v>985.9</v>
      </c>
      <c r="G164" s="43">
        <f t="shared" si="10"/>
        <v>2.2357259887591407E-2</v>
      </c>
      <c r="H164" s="48">
        <v>1136.76</v>
      </c>
      <c r="I164" s="43">
        <f t="shared" si="11"/>
        <v>2.4948381105230455E-2</v>
      </c>
      <c r="J164" s="3"/>
      <c r="K164" s="3"/>
      <c r="L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x14ac:dyDescent="0.2">
      <c r="A165" s="41">
        <v>37134</v>
      </c>
      <c r="B165" s="49">
        <v>1591.18</v>
      </c>
      <c r="C165" s="43">
        <f t="shared" si="8"/>
        <v>-6.2600150815345423E-2</v>
      </c>
      <c r="D165" s="50">
        <v>1852.7149999999999</v>
      </c>
      <c r="E165" s="43">
        <f t="shared" si="9"/>
        <v>-3.2298417593254136E-2</v>
      </c>
      <c r="F165" s="48">
        <v>997.19</v>
      </c>
      <c r="G165" s="43">
        <f t="shared" si="10"/>
        <v>1.145146566588906E-2</v>
      </c>
      <c r="H165" s="48">
        <v>1151.82</v>
      </c>
      <c r="I165" s="43">
        <f t="shared" si="11"/>
        <v>1.3248179035152408E-2</v>
      </c>
      <c r="J165" s="3"/>
      <c r="K165" s="3"/>
      <c r="L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x14ac:dyDescent="0.2">
      <c r="A166" s="41">
        <v>37162</v>
      </c>
      <c r="B166" s="49">
        <v>1462.69</v>
      </c>
      <c r="C166" s="43">
        <f t="shared" si="8"/>
        <v>-8.0751392048668325E-2</v>
      </c>
      <c r="D166" s="50">
        <v>1603.316</v>
      </c>
      <c r="E166" s="43">
        <f t="shared" si="9"/>
        <v>-0.13461271701260036</v>
      </c>
      <c r="F166" s="48">
        <v>1008.81</v>
      </c>
      <c r="G166" s="43">
        <f t="shared" si="10"/>
        <v>1.1652744211233523E-2</v>
      </c>
      <c r="H166" s="48">
        <v>1170.0999999999999</v>
      </c>
      <c r="I166" s="43">
        <f t="shared" si="11"/>
        <v>1.5870535326700352E-2</v>
      </c>
      <c r="J166" s="3"/>
      <c r="K166" s="3"/>
      <c r="L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x14ac:dyDescent="0.2">
      <c r="A167" s="41">
        <v>37195</v>
      </c>
      <c r="B167" s="49">
        <v>1490.58</v>
      </c>
      <c r="C167" s="43">
        <f t="shared" si="8"/>
        <v>1.9067608310715078E-2</v>
      </c>
      <c r="D167" s="50">
        <v>1697.143</v>
      </c>
      <c r="E167" s="43">
        <f t="shared" si="9"/>
        <v>5.8520591074997075E-2</v>
      </c>
      <c r="F167" s="48">
        <v>1029.92</v>
      </c>
      <c r="G167" s="43">
        <f t="shared" si="10"/>
        <v>2.0925645066960152E-2</v>
      </c>
      <c r="H167" s="48">
        <v>1202.51</v>
      </c>
      <c r="I167" s="43">
        <f t="shared" si="11"/>
        <v>2.7698487308777109E-2</v>
      </c>
      <c r="J167" s="3"/>
      <c r="K167" s="3"/>
      <c r="L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x14ac:dyDescent="0.2">
      <c r="A168" s="41">
        <v>37225</v>
      </c>
      <c r="B168" s="49">
        <v>1604.92</v>
      </c>
      <c r="C168" s="43">
        <f t="shared" si="8"/>
        <v>7.6708395389714079E-2</v>
      </c>
      <c r="D168" s="50">
        <v>1828.53</v>
      </c>
      <c r="E168" s="43">
        <f t="shared" si="9"/>
        <v>7.7416575975035595E-2</v>
      </c>
      <c r="F168" s="48">
        <v>1015.72</v>
      </c>
      <c r="G168" s="43">
        <f t="shared" si="10"/>
        <v>-1.3787478639117667E-2</v>
      </c>
      <c r="H168" s="48">
        <v>1172.74</v>
      </c>
      <c r="I168" s="43">
        <f t="shared" si="11"/>
        <v>-2.4756550881073758E-2</v>
      </c>
      <c r="J168" s="3"/>
      <c r="K168" s="3"/>
      <c r="L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x14ac:dyDescent="0.2">
      <c r="A169" s="41">
        <v>37256</v>
      </c>
      <c r="B169" s="49">
        <v>1618.98</v>
      </c>
      <c r="C169" s="43">
        <f t="shared" si="8"/>
        <v>8.7605612740822014E-3</v>
      </c>
      <c r="D169" s="50">
        <v>1941.393</v>
      </c>
      <c r="E169" s="43">
        <f t="shared" si="9"/>
        <v>6.1723351544683558E-2</v>
      </c>
      <c r="F169" s="48">
        <v>1009.27</v>
      </c>
      <c r="G169" s="43">
        <f t="shared" si="10"/>
        <v>-6.3501752451463611E-3</v>
      </c>
      <c r="H169" s="48">
        <v>1161.32</v>
      </c>
      <c r="I169" s="43">
        <f t="shared" si="11"/>
        <v>-9.7378788137183481E-3</v>
      </c>
      <c r="J169" s="3"/>
      <c r="K169" s="3"/>
      <c r="L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x14ac:dyDescent="0.2">
      <c r="A170" s="41">
        <v>37287</v>
      </c>
      <c r="B170" s="49">
        <v>1595.35</v>
      </c>
      <c r="C170" s="43">
        <f t="shared" si="8"/>
        <v>-1.4595609581341429E-2</v>
      </c>
      <c r="D170" s="50">
        <v>1921.2</v>
      </c>
      <c r="E170" s="43">
        <f t="shared" si="9"/>
        <v>-1.0401294328350796E-2</v>
      </c>
      <c r="F170" s="48">
        <v>1017.44</v>
      </c>
      <c r="G170" s="43">
        <f t="shared" si="10"/>
        <v>8.0949597233643811E-3</v>
      </c>
      <c r="H170" s="48">
        <v>1169.1400000000001</v>
      </c>
      <c r="I170" s="43">
        <f t="shared" si="11"/>
        <v>6.7337168050152219E-3</v>
      </c>
      <c r="J170" s="3"/>
      <c r="K170" s="3"/>
      <c r="L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x14ac:dyDescent="0.2">
      <c r="A171" s="41">
        <v>37315</v>
      </c>
      <c r="B171" s="49">
        <v>1564.59</v>
      </c>
      <c r="C171" s="43">
        <f t="shared" si="8"/>
        <v>-1.9281035509449373E-2</v>
      </c>
      <c r="D171" s="50">
        <v>1868.547</v>
      </c>
      <c r="E171" s="43">
        <f t="shared" si="9"/>
        <v>-2.740630855715176E-2</v>
      </c>
      <c r="F171" s="48">
        <v>1027.3</v>
      </c>
      <c r="G171" s="43">
        <f t="shared" si="10"/>
        <v>9.6909891492371614E-3</v>
      </c>
      <c r="H171" s="48">
        <v>1179.67</v>
      </c>
      <c r="I171" s="43">
        <f t="shared" si="11"/>
        <v>9.0066202507825821E-3</v>
      </c>
      <c r="J171" s="3"/>
      <c r="K171" s="3"/>
      <c r="L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x14ac:dyDescent="0.2">
      <c r="A172" s="41">
        <v>37344</v>
      </c>
      <c r="B172" s="49">
        <v>1623.43</v>
      </c>
      <c r="C172" s="43">
        <f t="shared" si="8"/>
        <v>3.7607296480228092E-2</v>
      </c>
      <c r="D172" s="50">
        <v>2018.7260000000001</v>
      </c>
      <c r="E172" s="43">
        <f t="shared" si="9"/>
        <v>8.0372075200677351E-2</v>
      </c>
      <c r="F172" s="48">
        <v>1010.21</v>
      </c>
      <c r="G172" s="43">
        <f t="shared" si="10"/>
        <v>-1.663584152633113E-2</v>
      </c>
      <c r="H172" s="48">
        <v>1151.29</v>
      </c>
      <c r="I172" s="43">
        <f t="shared" si="11"/>
        <v>-2.4057575423635513E-2</v>
      </c>
      <c r="J172" s="3"/>
      <c r="K172" s="3"/>
      <c r="L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x14ac:dyDescent="0.2">
      <c r="A173" s="41">
        <v>37376</v>
      </c>
      <c r="B173" s="49">
        <v>1525</v>
      </c>
      <c r="C173" s="43">
        <f t="shared" si="8"/>
        <v>-6.0630886456453315E-2</v>
      </c>
      <c r="D173" s="50">
        <v>2037.123</v>
      </c>
      <c r="E173" s="43">
        <f t="shared" si="9"/>
        <v>9.1131733578504459E-3</v>
      </c>
      <c r="F173" s="48">
        <v>1029.8</v>
      </c>
      <c r="G173" s="43">
        <f t="shared" si="10"/>
        <v>1.9392007602379691E-2</v>
      </c>
      <c r="H173" s="48">
        <v>1179.93</v>
      </c>
      <c r="I173" s="43">
        <f t="shared" si="11"/>
        <v>2.4876442946607735E-2</v>
      </c>
      <c r="J173" s="3"/>
      <c r="K173" s="3"/>
      <c r="L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x14ac:dyDescent="0.2">
      <c r="A174" s="41">
        <v>37407</v>
      </c>
      <c r="B174" s="49">
        <v>1513.77</v>
      </c>
      <c r="C174" s="43">
        <f t="shared" si="8"/>
        <v>-7.3639344262295126E-3</v>
      </c>
      <c r="D174" s="50">
        <v>1946.712</v>
      </c>
      <c r="E174" s="43">
        <f t="shared" si="9"/>
        <v>-4.4381708910065876E-2</v>
      </c>
      <c r="F174" s="48">
        <v>1038.55</v>
      </c>
      <c r="G174" s="43">
        <f t="shared" si="10"/>
        <v>8.4967954942707369E-3</v>
      </c>
      <c r="H174" s="48">
        <v>1186.54</v>
      </c>
      <c r="I174" s="43">
        <f t="shared" si="11"/>
        <v>5.6020272389039061E-3</v>
      </c>
      <c r="J174" s="3"/>
      <c r="K174" s="3"/>
      <c r="L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x14ac:dyDescent="0.2">
      <c r="A175" s="41">
        <v>37435</v>
      </c>
      <c r="B175" s="49">
        <v>1405.94</v>
      </c>
      <c r="C175" s="43">
        <f t="shared" si="8"/>
        <v>-7.123275002146956E-2</v>
      </c>
      <c r="D175" s="50">
        <v>1850.1210000000001</v>
      </c>
      <c r="E175" s="43">
        <f t="shared" si="9"/>
        <v>-4.9617508907326746E-2</v>
      </c>
      <c r="F175" s="48">
        <v>1047.53</v>
      </c>
      <c r="G175" s="43">
        <f t="shared" si="10"/>
        <v>8.6466708391508273E-3</v>
      </c>
      <c r="H175" s="48">
        <v>1203.29</v>
      </c>
      <c r="I175" s="43">
        <f t="shared" si="11"/>
        <v>1.4116675375461352E-2</v>
      </c>
      <c r="J175" s="3"/>
      <c r="K175" s="3"/>
      <c r="L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x14ac:dyDescent="0.2">
      <c r="A176" s="41">
        <v>37468</v>
      </c>
      <c r="B176" s="49">
        <v>1296.3399999999999</v>
      </c>
      <c r="C176" s="43">
        <f t="shared" si="8"/>
        <v>-7.7954962516181392E-2</v>
      </c>
      <c r="D176" s="50">
        <v>1570.6959999999999</v>
      </c>
      <c r="E176" s="43">
        <f t="shared" si="9"/>
        <v>-0.15103066231884299</v>
      </c>
      <c r="F176" s="48">
        <v>1060.17</v>
      </c>
      <c r="G176" s="43">
        <f t="shared" si="10"/>
        <v>1.2066480196271323E-2</v>
      </c>
      <c r="H176" s="48">
        <v>1231.8</v>
      </c>
      <c r="I176" s="43">
        <f t="shared" si="11"/>
        <v>2.3693373999617684E-2</v>
      </c>
      <c r="J176" s="3"/>
      <c r="K176" s="3"/>
      <c r="L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x14ac:dyDescent="0.2">
      <c r="A177" s="41">
        <v>37498</v>
      </c>
      <c r="B177" s="49">
        <v>1304.8599999999999</v>
      </c>
      <c r="C177" s="43">
        <f t="shared" si="8"/>
        <v>6.5723498464909103E-3</v>
      </c>
      <c r="D177" s="50">
        <v>1566.6959999999999</v>
      </c>
      <c r="E177" s="43">
        <f t="shared" si="9"/>
        <v>-2.546641743532807E-3</v>
      </c>
      <c r="F177" s="48">
        <v>1078.07</v>
      </c>
      <c r="G177" s="43">
        <f t="shared" si="10"/>
        <v>1.6884084627937002E-2</v>
      </c>
      <c r="H177" s="48">
        <v>1258.43</v>
      </c>
      <c r="I177" s="43">
        <f t="shared" si="11"/>
        <v>2.1618769280727479E-2</v>
      </c>
      <c r="J177" s="3"/>
      <c r="K177" s="3"/>
      <c r="L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x14ac:dyDescent="0.2">
      <c r="A178" s="41">
        <v>37529</v>
      </c>
      <c r="B178" s="49">
        <v>1163.04</v>
      </c>
      <c r="C178" s="43">
        <f t="shared" si="8"/>
        <v>-0.10868598930153417</v>
      </c>
      <c r="D178" s="50">
        <v>1454.1859999999999</v>
      </c>
      <c r="E178" s="43">
        <f t="shared" si="9"/>
        <v>-7.1813549022911927E-2</v>
      </c>
      <c r="F178" s="48">
        <v>1095.53</v>
      </c>
      <c r="G178" s="43">
        <f t="shared" si="10"/>
        <v>1.6195608819464358E-2</v>
      </c>
      <c r="H178" s="48">
        <v>1292.3599999999999</v>
      </c>
      <c r="I178" s="43">
        <f t="shared" si="11"/>
        <v>2.6962167144775506E-2</v>
      </c>
      <c r="J178" s="3"/>
      <c r="K178" s="3"/>
      <c r="L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x14ac:dyDescent="0.2">
      <c r="A179" s="41">
        <v>37560</v>
      </c>
      <c r="B179" s="49">
        <v>1265.4100000000001</v>
      </c>
      <c r="C179" s="43">
        <f t="shared" si="8"/>
        <v>8.8019328655936313E-2</v>
      </c>
      <c r="D179" s="50">
        <v>1500.81</v>
      </c>
      <c r="E179" s="43">
        <f t="shared" si="9"/>
        <v>3.2061923302796114E-2</v>
      </c>
      <c r="F179" s="48">
        <v>1090.54</v>
      </c>
      <c r="G179" s="43">
        <f t="shared" si="10"/>
        <v>-4.5548729838525981E-3</v>
      </c>
      <c r="H179" s="48">
        <v>1278.06</v>
      </c>
      <c r="I179" s="43">
        <f t="shared" si="11"/>
        <v>-1.1065028320282222E-2</v>
      </c>
      <c r="J179" s="3"/>
      <c r="K179" s="3"/>
      <c r="L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x14ac:dyDescent="0.2">
      <c r="A180" s="41">
        <v>37589</v>
      </c>
      <c r="B180" s="49">
        <v>1339.89</v>
      </c>
      <c r="C180" s="43">
        <f t="shared" si="8"/>
        <v>5.8858393722192925E-2</v>
      </c>
      <c r="D180" s="50">
        <v>1634.748</v>
      </c>
      <c r="E180" s="43">
        <f t="shared" si="9"/>
        <v>8.9243808343494546E-2</v>
      </c>
      <c r="F180" s="48">
        <v>1090.25</v>
      </c>
      <c r="G180" s="43">
        <f t="shared" si="10"/>
        <v>-2.6592330405117437E-4</v>
      </c>
      <c r="H180" s="48">
        <v>1265.4000000000001</v>
      </c>
      <c r="I180" s="43">
        <f t="shared" si="11"/>
        <v>-9.9056382329466564E-3</v>
      </c>
      <c r="J180" s="3"/>
      <c r="K180" s="3"/>
      <c r="L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x14ac:dyDescent="0.2">
      <c r="A181" s="41">
        <v>37621</v>
      </c>
      <c r="B181" s="49">
        <v>1261.18</v>
      </c>
      <c r="C181" s="43">
        <f t="shared" si="8"/>
        <v>-5.8743628208285825E-2</v>
      </c>
      <c r="D181" s="50">
        <v>1543.7260000000001</v>
      </c>
      <c r="E181" s="43">
        <f t="shared" si="9"/>
        <v>-5.5679529811322515E-2</v>
      </c>
      <c r="F181" s="48">
        <v>1112.77</v>
      </c>
      <c r="G181" s="43">
        <f t="shared" si="10"/>
        <v>2.0655812886952507E-2</v>
      </c>
      <c r="H181" s="48">
        <v>1298.28</v>
      </c>
      <c r="I181" s="43">
        <f t="shared" si="11"/>
        <v>2.5983878615457368E-2</v>
      </c>
      <c r="J181" s="3"/>
      <c r="K181" s="3"/>
      <c r="L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x14ac:dyDescent="0.2">
      <c r="A182" s="41">
        <v>37652</v>
      </c>
      <c r="B182" s="49">
        <v>1228.1400000000001</v>
      </c>
      <c r="C182" s="43">
        <f t="shared" si="8"/>
        <v>-2.6197687879604747E-2</v>
      </c>
      <c r="D182" s="50">
        <v>1501</v>
      </c>
      <c r="E182" s="43">
        <f t="shared" si="9"/>
        <v>-2.7677191418684521E-2</v>
      </c>
      <c r="F182" s="48">
        <v>1113.72</v>
      </c>
      <c r="G182" s="43">
        <f t="shared" si="10"/>
        <v>8.53725387995663E-4</v>
      </c>
      <c r="H182" s="48">
        <v>1294.33</v>
      </c>
      <c r="I182" s="43">
        <f t="shared" si="11"/>
        <v>-3.0424869827772039E-3</v>
      </c>
      <c r="J182" s="3"/>
      <c r="K182" s="3"/>
      <c r="L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x14ac:dyDescent="0.2">
      <c r="A183" s="41">
        <v>37680</v>
      </c>
      <c r="B183" s="49">
        <v>1209.71</v>
      </c>
      <c r="C183" s="43">
        <f t="shared" si="8"/>
        <v>-1.5006432491409871E-2</v>
      </c>
      <c r="D183" s="50">
        <v>1455.6469999999999</v>
      </c>
      <c r="E183" s="43">
        <f t="shared" si="9"/>
        <v>-3.0215189873417758E-2</v>
      </c>
      <c r="F183" s="48">
        <v>1129.1300000000001</v>
      </c>
      <c r="G183" s="43">
        <f t="shared" si="10"/>
        <v>1.3836511870128909E-2</v>
      </c>
      <c r="H183" s="48">
        <v>1316.6</v>
      </c>
      <c r="I183" s="43">
        <f t="shared" si="11"/>
        <v>1.720581304613189E-2</v>
      </c>
      <c r="J183" s="3"/>
      <c r="K183" s="3"/>
      <c r="L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x14ac:dyDescent="0.2">
      <c r="A184" s="41">
        <v>37711</v>
      </c>
      <c r="B184" s="49">
        <v>1221.46</v>
      </c>
      <c r="C184" s="43">
        <f t="shared" si="8"/>
        <v>9.7130717279347856E-3</v>
      </c>
      <c r="D184" s="50">
        <v>1474.3910000000001</v>
      </c>
      <c r="E184" s="43">
        <f t="shared" si="9"/>
        <v>1.2876748277570238E-2</v>
      </c>
      <c r="F184" s="48">
        <v>1128.26</v>
      </c>
      <c r="G184" s="43">
        <f t="shared" si="10"/>
        <v>-7.7050472487683042E-4</v>
      </c>
      <c r="H184" s="48">
        <v>1311.12</v>
      </c>
      <c r="I184" s="43">
        <f t="shared" si="11"/>
        <v>-4.1622360625854782E-3</v>
      </c>
      <c r="J184" s="3"/>
      <c r="K184" s="3"/>
      <c r="L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x14ac:dyDescent="0.2">
      <c r="A185" s="41">
        <v>37741</v>
      </c>
      <c r="B185" s="49">
        <v>1322.07</v>
      </c>
      <c r="C185" s="43">
        <f t="shared" si="8"/>
        <v>8.2368640806903093E-2</v>
      </c>
      <c r="D185" s="50">
        <v>1614.1890000000001</v>
      </c>
      <c r="E185" s="43">
        <f t="shared" si="9"/>
        <v>9.4817453443489574E-2</v>
      </c>
      <c r="F185" s="48">
        <v>1137.57</v>
      </c>
      <c r="G185" s="43">
        <f t="shared" si="10"/>
        <v>8.2516441245812366E-3</v>
      </c>
      <c r="H185" s="48">
        <v>1317.22</v>
      </c>
      <c r="I185" s="43">
        <f t="shared" si="11"/>
        <v>4.6525108304351637E-3</v>
      </c>
      <c r="J185" s="3"/>
      <c r="K185" s="3"/>
      <c r="L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x14ac:dyDescent="0.2">
      <c r="A186" s="41">
        <v>37771</v>
      </c>
      <c r="B186" s="49">
        <v>1391.72</v>
      </c>
      <c r="C186" s="43">
        <f t="shared" si="8"/>
        <v>5.2682535720498969E-2</v>
      </c>
      <c r="D186" s="50">
        <v>1787.412</v>
      </c>
      <c r="E186" s="43">
        <f t="shared" si="9"/>
        <v>0.10731271245188756</v>
      </c>
      <c r="F186" s="48">
        <v>1158.78</v>
      </c>
      <c r="G186" s="43">
        <f t="shared" si="10"/>
        <v>1.8645006461140978E-2</v>
      </c>
      <c r="H186" s="48">
        <v>1355.21</v>
      </c>
      <c r="I186" s="43">
        <f t="shared" si="11"/>
        <v>2.8841044016944872E-2</v>
      </c>
      <c r="J186" s="3"/>
      <c r="K186" s="3"/>
      <c r="L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x14ac:dyDescent="0.2">
      <c r="A187" s="41">
        <v>37802</v>
      </c>
      <c r="B187" s="49">
        <v>1409.48</v>
      </c>
      <c r="C187" s="43">
        <f t="shared" si="8"/>
        <v>1.2761187595205836E-2</v>
      </c>
      <c r="D187" s="50">
        <v>1819.758</v>
      </c>
      <c r="E187" s="43">
        <f t="shared" si="9"/>
        <v>1.8096555242999468E-2</v>
      </c>
      <c r="F187" s="48">
        <v>1156.48</v>
      </c>
      <c r="G187" s="43">
        <f t="shared" si="10"/>
        <v>-1.9848461312759191E-3</v>
      </c>
      <c r="H187" s="48">
        <v>1346.91</v>
      </c>
      <c r="I187" s="43">
        <f t="shared" si="11"/>
        <v>-6.1245120682402732E-3</v>
      </c>
      <c r="J187" s="3"/>
      <c r="K187" s="3"/>
      <c r="L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x14ac:dyDescent="0.2">
      <c r="A188" s="41">
        <v>37833</v>
      </c>
      <c r="B188" s="49">
        <v>1434.33</v>
      </c>
      <c r="C188" s="43">
        <f t="shared" si="8"/>
        <v>1.7630615546158745E-2</v>
      </c>
      <c r="D188" s="50">
        <v>1933.6210000000001</v>
      </c>
      <c r="E188" s="43">
        <f t="shared" si="9"/>
        <v>6.2570407713553156E-2</v>
      </c>
      <c r="F188" s="48">
        <v>1117.5999999999999</v>
      </c>
      <c r="G188" s="43">
        <f t="shared" si="10"/>
        <v>-3.3619258439402389E-2</v>
      </c>
      <c r="H188" s="48">
        <v>1287.75</v>
      </c>
      <c r="I188" s="43">
        <f t="shared" si="11"/>
        <v>-4.3922756531616924E-2</v>
      </c>
      <c r="J188" s="3"/>
      <c r="K188" s="3"/>
      <c r="L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x14ac:dyDescent="0.2">
      <c r="A189" s="41">
        <v>37862</v>
      </c>
      <c r="B189" s="49">
        <v>1462.3</v>
      </c>
      <c r="C189" s="43">
        <f t="shared" si="8"/>
        <v>1.950039391214009E-2</v>
      </c>
      <c r="D189" s="50">
        <v>2022.2750000000001</v>
      </c>
      <c r="E189" s="43">
        <f t="shared" si="9"/>
        <v>4.5848695271720752E-2</v>
      </c>
      <c r="F189" s="48">
        <v>1125.02</v>
      </c>
      <c r="G189" s="43">
        <f t="shared" si="10"/>
        <v>6.6392269148174421E-3</v>
      </c>
      <c r="H189" s="48">
        <v>1295.3900000000001</v>
      </c>
      <c r="I189" s="43">
        <f t="shared" si="11"/>
        <v>5.932828576975524E-3</v>
      </c>
      <c r="J189" s="3"/>
      <c r="K189" s="3"/>
      <c r="L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x14ac:dyDescent="0.2">
      <c r="A190" s="41">
        <v>37894</v>
      </c>
      <c r="B190" s="49">
        <v>1446.77</v>
      </c>
      <c r="C190" s="43">
        <f t="shared" si="8"/>
        <v>-1.0620255761471631E-2</v>
      </c>
      <c r="D190" s="50">
        <v>1984.9469999999999</v>
      </c>
      <c r="E190" s="43">
        <f t="shared" si="9"/>
        <v>-1.8458419354440037E-2</v>
      </c>
      <c r="F190" s="48">
        <v>1154.8</v>
      </c>
      <c r="G190" s="43">
        <f t="shared" si="10"/>
        <v>2.6470640521946143E-2</v>
      </c>
      <c r="H190" s="48">
        <v>1334.45</v>
      </c>
      <c r="I190" s="43">
        <f t="shared" si="11"/>
        <v>3.0153081311419694E-2</v>
      </c>
      <c r="J190" s="3"/>
      <c r="K190" s="3"/>
      <c r="L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x14ac:dyDescent="0.2">
      <c r="A191" s="41">
        <v>37925</v>
      </c>
      <c r="B191" s="49">
        <v>1528.62</v>
      </c>
      <c r="C191" s="43">
        <f t="shared" si="8"/>
        <v>5.6574299992396826E-2</v>
      </c>
      <c r="D191" s="50">
        <v>2151.636</v>
      </c>
      <c r="E191" s="43">
        <f t="shared" si="9"/>
        <v>8.3976549499810371E-2</v>
      </c>
      <c r="F191" s="48">
        <v>1144.03</v>
      </c>
      <c r="G191" s="43">
        <f t="shared" si="10"/>
        <v>-9.3262902667128333E-3</v>
      </c>
      <c r="H191" s="48">
        <v>1314.09</v>
      </c>
      <c r="I191" s="43">
        <f t="shared" si="11"/>
        <v>-1.5257222076511034E-2</v>
      </c>
      <c r="J191" s="3"/>
      <c r="K191" s="3"/>
      <c r="L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x14ac:dyDescent="0.2">
      <c r="A192" s="41">
        <v>37953</v>
      </c>
      <c r="B192" s="49">
        <v>1542.07</v>
      </c>
      <c r="C192" s="43">
        <f t="shared" si="8"/>
        <v>8.7987858329736657E-3</v>
      </c>
      <c r="D192" s="50">
        <v>2227.9940000000001</v>
      </c>
      <c r="E192" s="43">
        <f t="shared" si="9"/>
        <v>3.5488344682836681E-2</v>
      </c>
      <c r="F192" s="48">
        <v>1146.77</v>
      </c>
      <c r="G192" s="43">
        <f t="shared" si="10"/>
        <v>2.3950420880571865E-3</v>
      </c>
      <c r="H192" s="48">
        <v>1315.73</v>
      </c>
      <c r="I192" s="43">
        <f t="shared" si="11"/>
        <v>1.2480119322118011E-3</v>
      </c>
      <c r="J192" s="3"/>
      <c r="K192" s="3"/>
      <c r="L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x14ac:dyDescent="0.2">
      <c r="A193" s="41">
        <v>37986</v>
      </c>
      <c r="B193" s="49">
        <v>1622.94</v>
      </c>
      <c r="C193" s="43">
        <f t="shared" si="8"/>
        <v>5.2442496125338023E-2</v>
      </c>
      <c r="D193" s="50">
        <v>2273.1950000000002</v>
      </c>
      <c r="E193" s="43">
        <f t="shared" si="9"/>
        <v>2.0287756609757457E-2</v>
      </c>
      <c r="F193" s="48">
        <v>1158.44</v>
      </c>
      <c r="G193" s="43">
        <f t="shared" si="10"/>
        <v>1.0176408521325175E-2</v>
      </c>
      <c r="H193" s="48">
        <v>1327.38</v>
      </c>
      <c r="I193" s="43">
        <f t="shared" si="11"/>
        <v>8.8544002188899462E-3</v>
      </c>
      <c r="J193" s="3"/>
      <c r="K193" s="3"/>
      <c r="L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x14ac:dyDescent="0.2">
      <c r="A194" s="41">
        <v>38016</v>
      </c>
      <c r="B194" s="49">
        <v>1652.73</v>
      </c>
      <c r="C194" s="43">
        <f t="shared" si="8"/>
        <v>1.8355576915967342E-2</v>
      </c>
      <c r="D194" s="50">
        <v>2371.9560000000001</v>
      </c>
      <c r="E194" s="43">
        <f t="shared" si="9"/>
        <v>4.3445898834019836E-2</v>
      </c>
      <c r="F194" s="48">
        <v>1167.76</v>
      </c>
      <c r="G194" s="43">
        <f t="shared" si="10"/>
        <v>8.0453023030973014E-3</v>
      </c>
      <c r="H194" s="48">
        <v>1338.69</v>
      </c>
      <c r="I194" s="43">
        <f t="shared" si="11"/>
        <v>8.5205442299869372E-3</v>
      </c>
      <c r="J194" s="3"/>
      <c r="K194" s="3"/>
      <c r="L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x14ac:dyDescent="0.2">
      <c r="A195" s="41">
        <v>38044</v>
      </c>
      <c r="B195" s="49">
        <v>1675.7</v>
      </c>
      <c r="C195" s="43">
        <f t="shared" si="8"/>
        <v>1.389821688963111E-2</v>
      </c>
      <c r="D195" s="50">
        <v>2393.2190000000001</v>
      </c>
      <c r="E195" s="43">
        <f t="shared" si="9"/>
        <v>8.9643315474654539E-3</v>
      </c>
      <c r="F195" s="48">
        <v>1180.4000000000001</v>
      </c>
      <c r="G195" s="43">
        <f t="shared" si="10"/>
        <v>1.0824141946975452E-2</v>
      </c>
      <c r="H195" s="48">
        <v>1355.28</v>
      </c>
      <c r="I195" s="43">
        <f t="shared" si="11"/>
        <v>1.2392712278421314E-2</v>
      </c>
      <c r="J195" s="3"/>
      <c r="K195" s="3"/>
      <c r="L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x14ac:dyDescent="0.2">
      <c r="A196" s="41">
        <v>38077</v>
      </c>
      <c r="B196" s="49">
        <v>1650.42</v>
      </c>
      <c r="C196" s="43">
        <f t="shared" ref="C196:C259" si="12">B196/B195-1</f>
        <v>-1.5086232619203943E-2</v>
      </c>
      <c r="D196" s="50">
        <v>2415.5230000000001</v>
      </c>
      <c r="E196" s="43">
        <f t="shared" ref="E196:E259" si="13">D196/D195-1</f>
        <v>9.3196652709175432E-3</v>
      </c>
      <c r="F196" s="48">
        <v>1189.24</v>
      </c>
      <c r="G196" s="43">
        <f t="shared" ref="G196:G259" si="14">F196/F195-1</f>
        <v>7.4889867841410052E-3</v>
      </c>
      <c r="H196" s="48">
        <v>1368</v>
      </c>
      <c r="I196" s="43">
        <f t="shared" ref="I196:I259" si="15">H196/H195-1</f>
        <v>9.3855144324419548E-3</v>
      </c>
      <c r="J196" s="3"/>
      <c r="K196" s="3"/>
      <c r="L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x14ac:dyDescent="0.2">
      <c r="A197" s="41">
        <v>38107</v>
      </c>
      <c r="B197" s="49">
        <v>1624.51</v>
      </c>
      <c r="C197" s="43">
        <f t="shared" si="12"/>
        <v>-1.569903418523777E-2</v>
      </c>
      <c r="D197" s="50">
        <v>2292.3690000000001</v>
      </c>
      <c r="E197" s="43">
        <f t="shared" si="13"/>
        <v>-5.0984403791642596E-2</v>
      </c>
      <c r="F197" s="48">
        <v>1158.3</v>
      </c>
      <c r="G197" s="43">
        <f t="shared" si="14"/>
        <v>-2.6016615653694841E-2</v>
      </c>
      <c r="H197" s="48">
        <v>1324</v>
      </c>
      <c r="I197" s="43">
        <f t="shared" si="15"/>
        <v>-3.2163742690058506E-2</v>
      </c>
      <c r="J197" s="3"/>
      <c r="K197" s="3"/>
      <c r="L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x14ac:dyDescent="0.2">
      <c r="A198" s="41">
        <v>38138</v>
      </c>
      <c r="B198" s="49">
        <v>1646.8</v>
      </c>
      <c r="C198" s="43">
        <f t="shared" si="12"/>
        <v>1.3721060504398253E-2</v>
      </c>
      <c r="D198" s="50">
        <v>2328.855</v>
      </c>
      <c r="E198" s="43">
        <f t="shared" si="13"/>
        <v>1.5916285728868163E-2</v>
      </c>
      <c r="F198" s="48">
        <v>1153.6600000000001</v>
      </c>
      <c r="G198" s="43">
        <f t="shared" si="14"/>
        <v>-4.0058706725372151E-3</v>
      </c>
      <c r="H198" s="48">
        <v>1319.45</v>
      </c>
      <c r="I198" s="43">
        <f t="shared" si="15"/>
        <v>-3.4365558912385907E-3</v>
      </c>
      <c r="J198" s="3"/>
      <c r="K198" s="3"/>
      <c r="L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x14ac:dyDescent="0.2">
      <c r="A199" s="41">
        <v>38168</v>
      </c>
      <c r="B199" s="49">
        <v>1678.83</v>
      </c>
      <c r="C199" s="43">
        <f t="shared" si="12"/>
        <v>1.9449842118047123E-2</v>
      </c>
      <c r="D199" s="50">
        <v>2426.931</v>
      </c>
      <c r="E199" s="43">
        <f t="shared" si="13"/>
        <v>4.2113399073793856E-2</v>
      </c>
      <c r="F199" s="48">
        <v>1160.18</v>
      </c>
      <c r="G199" s="43">
        <f t="shared" si="14"/>
        <v>5.6515784546573578E-3</v>
      </c>
      <c r="H199" s="48">
        <v>1324.75</v>
      </c>
      <c r="I199" s="43">
        <f t="shared" si="15"/>
        <v>4.0168251923149434E-3</v>
      </c>
      <c r="J199" s="3"/>
      <c r="K199" s="3"/>
      <c r="L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x14ac:dyDescent="0.2">
      <c r="A200" s="41">
        <v>38198</v>
      </c>
      <c r="B200" s="49">
        <v>1623.26</v>
      </c>
      <c r="C200" s="43">
        <f t="shared" si="12"/>
        <v>-3.3100433039676358E-2</v>
      </c>
      <c r="D200" s="50">
        <v>2263.518</v>
      </c>
      <c r="E200" s="43">
        <f t="shared" si="13"/>
        <v>-6.7333187470101086E-2</v>
      </c>
      <c r="F200" s="48">
        <v>1171.68</v>
      </c>
      <c r="G200" s="43">
        <f t="shared" si="14"/>
        <v>9.9122549949146599E-3</v>
      </c>
      <c r="H200" s="48">
        <v>1337.36</v>
      </c>
      <c r="I200" s="43">
        <f t="shared" si="15"/>
        <v>9.5187771277598365E-3</v>
      </c>
      <c r="J200" s="3"/>
      <c r="K200" s="3"/>
      <c r="L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x14ac:dyDescent="0.2">
      <c r="A201" s="41">
        <v>38230</v>
      </c>
      <c r="B201" s="49">
        <v>1629.83</v>
      </c>
      <c r="C201" s="43">
        <f t="shared" si="12"/>
        <v>4.0474107659893566E-3</v>
      </c>
      <c r="D201" s="50">
        <v>2251.8850000000002</v>
      </c>
      <c r="E201" s="43">
        <f t="shared" si="13"/>
        <v>-5.1393450372384519E-3</v>
      </c>
      <c r="F201" s="48">
        <v>1194.03</v>
      </c>
      <c r="G201" s="43">
        <f t="shared" si="14"/>
        <v>1.9075174108971638E-2</v>
      </c>
      <c r="H201" s="48">
        <v>1365.02</v>
      </c>
      <c r="I201" s="43">
        <f t="shared" si="15"/>
        <v>2.0682538733026279E-2</v>
      </c>
      <c r="J201" s="3"/>
      <c r="K201" s="3"/>
      <c r="L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x14ac:dyDescent="0.2">
      <c r="A202" s="41">
        <v>38260</v>
      </c>
      <c r="B202" s="49">
        <v>1647.48</v>
      </c>
      <c r="C202" s="43">
        <f t="shared" si="12"/>
        <v>1.0829350300338048E-2</v>
      </c>
      <c r="D202" s="50">
        <v>2357.6010000000001</v>
      </c>
      <c r="E202" s="43">
        <f t="shared" si="13"/>
        <v>4.6945558942841137E-2</v>
      </c>
      <c r="F202" s="48">
        <v>1197.27</v>
      </c>
      <c r="G202" s="43">
        <f t="shared" si="14"/>
        <v>2.7134996608124684E-3</v>
      </c>
      <c r="H202" s="48">
        <v>1368.53</v>
      </c>
      <c r="I202" s="43">
        <f t="shared" si="15"/>
        <v>2.5713908953715059E-3</v>
      </c>
      <c r="J202" s="3"/>
      <c r="K202" s="3"/>
      <c r="L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x14ac:dyDescent="0.2">
      <c r="A203" s="41">
        <v>38289</v>
      </c>
      <c r="B203" s="49">
        <v>1672.65</v>
      </c>
      <c r="C203" s="43">
        <f t="shared" si="12"/>
        <v>1.5277878942384859E-2</v>
      </c>
      <c r="D203" s="50">
        <v>2404.0079999999998</v>
      </c>
      <c r="E203" s="43">
        <f t="shared" si="13"/>
        <v>1.9683992329490696E-2</v>
      </c>
      <c r="F203" s="48">
        <v>1207.31</v>
      </c>
      <c r="G203" s="43">
        <f t="shared" si="14"/>
        <v>8.3857442348007627E-3</v>
      </c>
      <c r="H203" s="48">
        <v>1379.38</v>
      </c>
      <c r="I203" s="43">
        <f t="shared" si="15"/>
        <v>7.9282149459640738E-3</v>
      </c>
      <c r="J203" s="3"/>
      <c r="K203" s="3"/>
      <c r="L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x14ac:dyDescent="0.2">
      <c r="A204" s="41">
        <v>38321</v>
      </c>
      <c r="B204" s="49">
        <v>1740.33</v>
      </c>
      <c r="C204" s="43">
        <f t="shared" si="12"/>
        <v>4.0462738767823359E-2</v>
      </c>
      <c r="D204" s="50">
        <v>2612.5279999999998</v>
      </c>
      <c r="E204" s="43">
        <f t="shared" si="13"/>
        <v>8.6738480071613777E-2</v>
      </c>
      <c r="F204" s="48">
        <v>1197.68</v>
      </c>
      <c r="G204" s="43">
        <f t="shared" si="14"/>
        <v>-7.9764103668484854E-3</v>
      </c>
      <c r="H204" s="48">
        <v>1360.85</v>
      </c>
      <c r="I204" s="43">
        <f t="shared" si="15"/>
        <v>-1.3433571604634098E-2</v>
      </c>
      <c r="J204" s="3"/>
      <c r="K204" s="3"/>
      <c r="L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x14ac:dyDescent="0.2">
      <c r="A205" s="41">
        <v>38352</v>
      </c>
      <c r="B205" s="49">
        <v>1799.55</v>
      </c>
      <c r="C205" s="43">
        <f t="shared" si="12"/>
        <v>3.402802916688219E-2</v>
      </c>
      <c r="D205" s="50">
        <v>2689.8580000000002</v>
      </c>
      <c r="E205" s="43">
        <f t="shared" si="13"/>
        <v>2.9599682759381185E-2</v>
      </c>
      <c r="F205" s="48">
        <v>1208.7</v>
      </c>
      <c r="G205" s="43">
        <f t="shared" si="14"/>
        <v>9.2011221695278422E-3</v>
      </c>
      <c r="H205" s="48">
        <v>1374.34</v>
      </c>
      <c r="I205" s="43">
        <f t="shared" si="15"/>
        <v>9.9129220707645516E-3</v>
      </c>
      <c r="J205" s="3"/>
      <c r="K205" s="3"/>
      <c r="L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x14ac:dyDescent="0.2">
      <c r="A206" s="41">
        <v>38383</v>
      </c>
      <c r="B206" s="49">
        <v>1755.68</v>
      </c>
      <c r="C206" s="43">
        <f t="shared" si="12"/>
        <v>-2.437831680142255E-2</v>
      </c>
      <c r="D206" s="50">
        <v>2577.6280000000002</v>
      </c>
      <c r="E206" s="43">
        <f t="shared" si="13"/>
        <v>-4.1723392089842659E-2</v>
      </c>
      <c r="F206" s="48">
        <v>1216.29</v>
      </c>
      <c r="G206" s="43">
        <f t="shared" si="14"/>
        <v>6.2794738148423956E-3</v>
      </c>
      <c r="H206" s="48">
        <v>1384.37</v>
      </c>
      <c r="I206" s="43">
        <f t="shared" si="15"/>
        <v>7.2980485178339993E-3</v>
      </c>
      <c r="J206" s="3"/>
      <c r="K206" s="3"/>
      <c r="L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x14ac:dyDescent="0.2">
      <c r="A207" s="41">
        <v>38411</v>
      </c>
      <c r="B207" s="49">
        <v>1792.63</v>
      </c>
      <c r="C207" s="43">
        <f t="shared" si="12"/>
        <v>2.1045976487742646E-2</v>
      </c>
      <c r="D207" s="50">
        <v>2621.2890000000002</v>
      </c>
      <c r="E207" s="43">
        <f t="shared" si="13"/>
        <v>1.6938441078386823E-2</v>
      </c>
      <c r="F207" s="48">
        <v>1209.1099999999999</v>
      </c>
      <c r="G207" s="43">
        <f t="shared" si="14"/>
        <v>-5.9031974282449662E-3</v>
      </c>
      <c r="H207" s="48">
        <v>1373.07</v>
      </c>
      <c r="I207" s="43">
        <f t="shared" si="15"/>
        <v>-8.1625576977253367E-3</v>
      </c>
      <c r="J207" s="3"/>
      <c r="K207" s="3"/>
      <c r="L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x14ac:dyDescent="0.2">
      <c r="A208" s="41">
        <v>38442</v>
      </c>
      <c r="B208" s="49">
        <v>1760.89</v>
      </c>
      <c r="C208" s="43">
        <f t="shared" si="12"/>
        <v>-1.7705828865967832E-2</v>
      </c>
      <c r="D208" s="50">
        <v>2546.25</v>
      </c>
      <c r="E208" s="43">
        <f t="shared" si="13"/>
        <v>-2.8626755767868439E-2</v>
      </c>
      <c r="F208" s="48">
        <v>1202.9000000000001</v>
      </c>
      <c r="G208" s="43">
        <f t="shared" si="14"/>
        <v>-5.1360091306827949E-3</v>
      </c>
      <c r="H208" s="48">
        <v>1368.6</v>
      </c>
      <c r="I208" s="43">
        <f t="shared" si="15"/>
        <v>-3.255478599051731E-3</v>
      </c>
      <c r="J208" s="3"/>
      <c r="K208" s="3"/>
      <c r="L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x14ac:dyDescent="0.2">
      <c r="A209" s="41">
        <v>38471</v>
      </c>
      <c r="B209" s="49">
        <v>1727.49</v>
      </c>
      <c r="C209" s="43">
        <f t="shared" si="12"/>
        <v>-1.8967681115799495E-2</v>
      </c>
      <c r="D209" s="50">
        <v>2400.4290000000001</v>
      </c>
      <c r="E209" s="43">
        <f t="shared" si="13"/>
        <v>-5.7268924889543382E-2</v>
      </c>
      <c r="F209" s="48">
        <v>1219.18</v>
      </c>
      <c r="G209" s="43">
        <f t="shared" si="14"/>
        <v>1.3533959597638923E-2</v>
      </c>
      <c r="H209" s="48">
        <v>1392.66</v>
      </c>
      <c r="I209" s="43">
        <f t="shared" si="15"/>
        <v>1.758000876808441E-2</v>
      </c>
      <c r="J209" s="3"/>
      <c r="K209" s="3"/>
      <c r="L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x14ac:dyDescent="0.2">
      <c r="A210" s="41">
        <v>38503</v>
      </c>
      <c r="B210" s="49">
        <v>1782.46</v>
      </c>
      <c r="C210" s="43">
        <f t="shared" si="12"/>
        <v>3.1820734128706896E-2</v>
      </c>
      <c r="D210" s="50">
        <v>2557.54</v>
      </c>
      <c r="E210" s="43">
        <f t="shared" si="13"/>
        <v>6.5451217261581096E-2</v>
      </c>
      <c r="F210" s="48">
        <v>1232.3699999999999</v>
      </c>
      <c r="G210" s="43">
        <f t="shared" si="14"/>
        <v>1.0818747026689834E-2</v>
      </c>
      <c r="H210" s="48">
        <v>1409.67</v>
      </c>
      <c r="I210" s="43">
        <f t="shared" si="15"/>
        <v>1.221403644823571E-2</v>
      </c>
      <c r="J210" s="3"/>
      <c r="K210" s="3"/>
      <c r="L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x14ac:dyDescent="0.2">
      <c r="A211" s="41">
        <v>38533</v>
      </c>
      <c r="B211" s="49">
        <v>1784.99</v>
      </c>
      <c r="C211" s="43">
        <f t="shared" si="12"/>
        <v>1.4193866903045027E-3</v>
      </c>
      <c r="D211" s="50">
        <v>2656.1860000000001</v>
      </c>
      <c r="E211" s="43">
        <f t="shared" si="13"/>
        <v>3.8570657741423542E-2</v>
      </c>
      <c r="F211" s="48">
        <v>1239.0899999999999</v>
      </c>
      <c r="G211" s="43">
        <f t="shared" si="14"/>
        <v>5.4529078117773189E-3</v>
      </c>
      <c r="H211" s="48">
        <v>1418.31</v>
      </c>
      <c r="I211" s="43">
        <f t="shared" si="15"/>
        <v>6.1290940432865426E-3</v>
      </c>
      <c r="J211" s="3"/>
      <c r="K211" s="3"/>
      <c r="L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x14ac:dyDescent="0.2">
      <c r="A212" s="41">
        <v>38562</v>
      </c>
      <c r="B212" s="49">
        <v>1851.37</v>
      </c>
      <c r="C212" s="43">
        <f t="shared" si="12"/>
        <v>3.718788340550927E-2</v>
      </c>
      <c r="D212" s="50">
        <v>2824.47</v>
      </c>
      <c r="E212" s="43">
        <f t="shared" si="13"/>
        <v>6.3355502965530164E-2</v>
      </c>
      <c r="F212" s="48">
        <v>1227.81</v>
      </c>
      <c r="G212" s="43">
        <f t="shared" si="14"/>
        <v>-9.1034549548458799E-3</v>
      </c>
      <c r="H212" s="48">
        <v>1399.08</v>
      </c>
      <c r="I212" s="43">
        <f t="shared" si="15"/>
        <v>-1.3558389914757663E-2</v>
      </c>
      <c r="J212" s="3"/>
      <c r="K212" s="3"/>
      <c r="L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x14ac:dyDescent="0.2">
      <c r="A213" s="41">
        <v>38595</v>
      </c>
      <c r="B213" s="49">
        <v>1834.48</v>
      </c>
      <c r="C213" s="43">
        <f t="shared" si="12"/>
        <v>-9.1229737977821523E-3</v>
      </c>
      <c r="D213" s="50">
        <v>2772.1030000000001</v>
      </c>
      <c r="E213" s="43">
        <f t="shared" si="13"/>
        <v>-1.8540469539417903E-2</v>
      </c>
      <c r="F213" s="48">
        <v>1243.55</v>
      </c>
      <c r="G213" s="43">
        <f t="shared" si="14"/>
        <v>1.2819573060978584E-2</v>
      </c>
      <c r="H213" s="48">
        <v>1421.3</v>
      </c>
      <c r="I213" s="43">
        <f t="shared" si="15"/>
        <v>1.5881865225719771E-2</v>
      </c>
      <c r="J213" s="3"/>
      <c r="K213" s="3"/>
      <c r="L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x14ac:dyDescent="0.2">
      <c r="A214" s="41">
        <v>38625</v>
      </c>
      <c r="B214" s="49">
        <v>1849.33</v>
      </c>
      <c r="C214" s="43">
        <f t="shared" si="12"/>
        <v>8.0949369848675179E-3</v>
      </c>
      <c r="D214" s="50">
        <v>2780.7979999999998</v>
      </c>
      <c r="E214" s="43">
        <f t="shared" si="13"/>
        <v>3.1366078388861407E-3</v>
      </c>
      <c r="F214" s="48">
        <v>1230.74</v>
      </c>
      <c r="G214" s="43">
        <f t="shared" si="14"/>
        <v>-1.0301153954404674E-2</v>
      </c>
      <c r="H214" s="48">
        <v>1402.44</v>
      </c>
      <c r="I214" s="43">
        <f t="shared" si="15"/>
        <v>-1.326954196862018E-2</v>
      </c>
      <c r="J214" s="3"/>
      <c r="K214" s="3"/>
      <c r="L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x14ac:dyDescent="0.2">
      <c r="A215" s="41">
        <v>38656</v>
      </c>
      <c r="B215" s="49">
        <v>1818.5</v>
      </c>
      <c r="C215" s="43">
        <f t="shared" si="12"/>
        <v>-1.6670902434935853E-2</v>
      </c>
      <c r="D215" s="50">
        <v>2694.4560000000001</v>
      </c>
      <c r="E215" s="43">
        <f t="shared" si="13"/>
        <v>-3.1049360651151048E-2</v>
      </c>
      <c r="F215" s="48">
        <v>1221</v>
      </c>
      <c r="G215" s="43">
        <f t="shared" si="14"/>
        <v>-7.9139379560264622E-3</v>
      </c>
      <c r="H215" s="48">
        <v>1391.47</v>
      </c>
      <c r="I215" s="43">
        <f t="shared" si="15"/>
        <v>-7.8220815150737977E-3</v>
      </c>
      <c r="J215" s="3"/>
      <c r="K215" s="3"/>
      <c r="L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x14ac:dyDescent="0.2">
      <c r="A216" s="41">
        <v>38686</v>
      </c>
      <c r="B216" s="49">
        <v>1887.28</v>
      </c>
      <c r="C216" s="43">
        <f t="shared" si="12"/>
        <v>3.7822381083310486E-2</v>
      </c>
      <c r="D216" s="50">
        <v>2825.261</v>
      </c>
      <c r="E216" s="43">
        <f t="shared" si="13"/>
        <v>4.8545977369828908E-2</v>
      </c>
      <c r="F216" s="48">
        <v>1226.4000000000001</v>
      </c>
      <c r="G216" s="43">
        <f t="shared" si="14"/>
        <v>4.4226044226045591E-3</v>
      </c>
      <c r="H216" s="48">
        <v>1398.22</v>
      </c>
      <c r="I216" s="43">
        <f t="shared" si="15"/>
        <v>4.8509849296067831E-3</v>
      </c>
      <c r="J216" s="3"/>
      <c r="K216" s="3"/>
      <c r="L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x14ac:dyDescent="0.2">
      <c r="A217" s="41">
        <v>38716</v>
      </c>
      <c r="B217" s="49">
        <v>1887.94</v>
      </c>
      <c r="C217" s="43">
        <f t="shared" si="12"/>
        <v>3.497096350304485E-4</v>
      </c>
      <c r="D217" s="50">
        <v>2812.3490000000002</v>
      </c>
      <c r="E217" s="43">
        <f t="shared" si="13"/>
        <v>-4.5701972313353378E-3</v>
      </c>
      <c r="F217" s="48">
        <v>1238.06</v>
      </c>
      <c r="G217" s="43">
        <f t="shared" si="14"/>
        <v>9.5075016307892835E-3</v>
      </c>
      <c r="H217" s="48">
        <v>1412.71</v>
      </c>
      <c r="I217" s="43">
        <f t="shared" si="15"/>
        <v>1.0363176038105548E-2</v>
      </c>
      <c r="J217" s="3"/>
      <c r="K217" s="3"/>
      <c r="L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x14ac:dyDescent="0.2">
      <c r="A218" s="41">
        <v>38748</v>
      </c>
      <c r="B218" s="49">
        <v>1937.93</v>
      </c>
      <c r="C218" s="43">
        <f t="shared" si="12"/>
        <v>2.6478595718084197E-2</v>
      </c>
      <c r="D218" s="50">
        <v>3064.538</v>
      </c>
      <c r="E218" s="43">
        <f t="shared" si="13"/>
        <v>8.9672014390816956E-2</v>
      </c>
      <c r="F218" s="48">
        <v>1238.1300000000001</v>
      </c>
      <c r="G218" s="43">
        <f t="shared" si="14"/>
        <v>5.6540070755950467E-5</v>
      </c>
      <c r="H218" s="48">
        <v>1408.5</v>
      </c>
      <c r="I218" s="43">
        <f t="shared" si="15"/>
        <v>-2.9800879161328009E-3</v>
      </c>
      <c r="J218" s="3"/>
      <c r="K218" s="3"/>
      <c r="L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x14ac:dyDescent="0.2">
      <c r="A219" s="41">
        <v>38776</v>
      </c>
      <c r="B219" s="49">
        <v>1943.19</v>
      </c>
      <c r="C219" s="43">
        <f t="shared" si="12"/>
        <v>2.7142363243253254E-3</v>
      </c>
      <c r="D219" s="50">
        <v>3056.1010000000001</v>
      </c>
      <c r="E219" s="43">
        <f t="shared" si="13"/>
        <v>-2.7531066673018856E-3</v>
      </c>
      <c r="F219" s="48">
        <v>1242.24</v>
      </c>
      <c r="G219" s="43">
        <f t="shared" si="14"/>
        <v>3.3195221826463062E-3</v>
      </c>
      <c r="H219" s="48">
        <v>1410.55</v>
      </c>
      <c r="I219" s="43">
        <f t="shared" si="15"/>
        <v>1.455449059282854E-3</v>
      </c>
      <c r="J219" s="3"/>
      <c r="K219" s="3"/>
      <c r="L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x14ac:dyDescent="0.2">
      <c r="A220" s="41">
        <v>38807</v>
      </c>
      <c r="B220" s="49">
        <v>1967.38</v>
      </c>
      <c r="C220" s="43">
        <f t="shared" si="12"/>
        <v>1.2448602555591659E-2</v>
      </c>
      <c r="D220" s="50">
        <v>3204.3739999999998</v>
      </c>
      <c r="E220" s="43">
        <f t="shared" si="13"/>
        <v>4.8517048356713222E-2</v>
      </c>
      <c r="F220" s="48">
        <v>1230.05</v>
      </c>
      <c r="G220" s="43">
        <f t="shared" si="14"/>
        <v>-9.8129185986605139E-3</v>
      </c>
      <c r="H220" s="48">
        <v>1395.33</v>
      </c>
      <c r="I220" s="43">
        <f t="shared" si="15"/>
        <v>-1.0790117330119475E-2</v>
      </c>
      <c r="J220" s="3"/>
      <c r="K220" s="3"/>
      <c r="L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x14ac:dyDescent="0.2">
      <c r="A221" s="41">
        <v>38835</v>
      </c>
      <c r="B221" s="49">
        <v>1993.79</v>
      </c>
      <c r="C221" s="43">
        <f t="shared" si="12"/>
        <v>1.3423944535371879E-2</v>
      </c>
      <c r="D221" s="50">
        <v>3203.8519999999999</v>
      </c>
      <c r="E221" s="43">
        <f t="shared" si="13"/>
        <v>-1.6290233287374889E-4</v>
      </c>
      <c r="F221" s="48">
        <v>1227.82</v>
      </c>
      <c r="G221" s="43">
        <f t="shared" si="14"/>
        <v>-1.8129344335596764E-3</v>
      </c>
      <c r="H221" s="48">
        <v>1389.58</v>
      </c>
      <c r="I221" s="43">
        <f t="shared" si="15"/>
        <v>-4.1208889653343572E-3</v>
      </c>
      <c r="J221" s="3"/>
      <c r="K221" s="3"/>
      <c r="L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x14ac:dyDescent="0.2">
      <c r="A222" s="41">
        <v>38868</v>
      </c>
      <c r="B222" s="49">
        <v>1936.41</v>
      </c>
      <c r="C222" s="43">
        <f t="shared" si="12"/>
        <v>-2.8779359912528335E-2</v>
      </c>
      <c r="D222" s="50">
        <v>3023.9229999999998</v>
      </c>
      <c r="E222" s="43">
        <f t="shared" si="13"/>
        <v>-5.6160209647636683E-2</v>
      </c>
      <c r="F222" s="48">
        <v>1226.51</v>
      </c>
      <c r="G222" s="43">
        <f t="shared" si="14"/>
        <v>-1.0669316349301017E-3</v>
      </c>
      <c r="H222" s="48">
        <v>1390.04</v>
      </c>
      <c r="I222" s="43">
        <f t="shared" si="15"/>
        <v>3.3103527684619216E-4</v>
      </c>
      <c r="J222" s="3"/>
      <c r="K222" s="3"/>
      <c r="L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x14ac:dyDescent="0.2">
      <c r="A223" s="41">
        <v>38898</v>
      </c>
      <c r="B223" s="49">
        <v>1939.03</v>
      </c>
      <c r="C223" s="43">
        <f t="shared" si="12"/>
        <v>1.3530192469568547E-3</v>
      </c>
      <c r="D223" s="50">
        <v>3043.3649999999998</v>
      </c>
      <c r="E223" s="43">
        <f t="shared" si="13"/>
        <v>6.4293965157180555E-3</v>
      </c>
      <c r="F223" s="48">
        <v>1229.1099999999999</v>
      </c>
      <c r="G223" s="43">
        <f t="shared" si="14"/>
        <v>2.1198359573098013E-3</v>
      </c>
      <c r="H223" s="48">
        <v>1394.47</v>
      </c>
      <c r="I223" s="43">
        <f t="shared" si="15"/>
        <v>3.1869586486721335E-3</v>
      </c>
      <c r="J223" s="3"/>
      <c r="K223" s="3"/>
      <c r="L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x14ac:dyDescent="0.2">
      <c r="A224" s="41">
        <v>38929</v>
      </c>
      <c r="B224" s="49">
        <v>1950.99</v>
      </c>
      <c r="C224" s="43">
        <f t="shared" si="12"/>
        <v>6.1680324698432099E-3</v>
      </c>
      <c r="D224" s="50">
        <v>2944.3380000000002</v>
      </c>
      <c r="E224" s="43">
        <f t="shared" si="13"/>
        <v>-3.2538653759900504E-2</v>
      </c>
      <c r="F224" s="48">
        <v>1245.73</v>
      </c>
      <c r="G224" s="43">
        <f t="shared" si="14"/>
        <v>1.3521979318368738E-2</v>
      </c>
      <c r="H224" s="48">
        <v>1411.74</v>
      </c>
      <c r="I224" s="43">
        <f t="shared" si="15"/>
        <v>1.2384633588388372E-2</v>
      </c>
      <c r="J224" s="3"/>
      <c r="K224" s="3"/>
      <c r="L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x14ac:dyDescent="0.2">
      <c r="A225" s="41">
        <v>38960</v>
      </c>
      <c r="B225" s="49">
        <v>1997.42</v>
      </c>
      <c r="C225" s="43">
        <f t="shared" si="12"/>
        <v>2.3798174260247329E-2</v>
      </c>
      <c r="D225" s="50">
        <v>3031.5120000000002</v>
      </c>
      <c r="E225" s="43">
        <f t="shared" si="13"/>
        <v>2.9607334484016423E-2</v>
      </c>
      <c r="F225" s="48">
        <v>1264.8</v>
      </c>
      <c r="G225" s="43">
        <f t="shared" si="14"/>
        <v>1.5308293129329797E-2</v>
      </c>
      <c r="H225" s="48">
        <v>1432.46</v>
      </c>
      <c r="I225" s="43">
        <f t="shared" si="15"/>
        <v>1.4676923512828122E-2</v>
      </c>
      <c r="J225" s="3"/>
      <c r="K225" s="3"/>
      <c r="L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x14ac:dyDescent="0.2">
      <c r="A226" s="41">
        <v>38989</v>
      </c>
      <c r="B226" s="49">
        <v>2048.89</v>
      </c>
      <c r="C226" s="43">
        <f t="shared" si="12"/>
        <v>2.5768241030929895E-2</v>
      </c>
      <c r="D226" s="50">
        <v>3056.7510000000002</v>
      </c>
      <c r="E226" s="43">
        <f t="shared" si="13"/>
        <v>8.325548439194641E-3</v>
      </c>
      <c r="F226" s="48">
        <v>1275.9100000000001</v>
      </c>
      <c r="G226" s="43">
        <f t="shared" si="14"/>
        <v>8.7839974699557288E-3</v>
      </c>
      <c r="H226" s="48">
        <v>1445.76</v>
      </c>
      <c r="I226" s="43">
        <f t="shared" si="15"/>
        <v>9.2847269731790583E-3</v>
      </c>
      <c r="J226" s="3"/>
      <c r="K226" s="3"/>
      <c r="L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x14ac:dyDescent="0.2">
      <c r="A227" s="41">
        <v>39021</v>
      </c>
      <c r="B227" s="49">
        <v>2115.65</v>
      </c>
      <c r="C227" s="43">
        <f t="shared" si="12"/>
        <v>3.2583496429774206E-2</v>
      </c>
      <c r="D227" s="50">
        <v>3232.7510000000002</v>
      </c>
      <c r="E227" s="43">
        <f t="shared" si="13"/>
        <v>5.757747359860188E-2</v>
      </c>
      <c r="F227" s="48">
        <v>1284.3499999999999</v>
      </c>
      <c r="G227" s="43">
        <f t="shared" si="14"/>
        <v>6.61488662993448E-3</v>
      </c>
      <c r="H227" s="48">
        <v>1453.1</v>
      </c>
      <c r="I227" s="43">
        <f t="shared" si="15"/>
        <v>5.076914563966195E-3</v>
      </c>
      <c r="J227" s="3"/>
      <c r="K227" s="3"/>
      <c r="L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x14ac:dyDescent="0.2">
      <c r="A228" s="41">
        <v>39051</v>
      </c>
      <c r="B228" s="49">
        <v>2155.89</v>
      </c>
      <c r="C228" s="43">
        <f t="shared" si="12"/>
        <v>1.9020159289107275E-2</v>
      </c>
      <c r="D228" s="50">
        <v>3317.7890000000002</v>
      </c>
      <c r="E228" s="43">
        <f t="shared" si="13"/>
        <v>2.6305150010006884E-2</v>
      </c>
      <c r="F228" s="48">
        <v>1299.25</v>
      </c>
      <c r="G228" s="43">
        <f t="shared" si="14"/>
        <v>1.1601199050103261E-2</v>
      </c>
      <c r="H228" s="48">
        <v>1468.28</v>
      </c>
      <c r="I228" s="43">
        <f t="shared" si="15"/>
        <v>1.0446631339894097E-2</v>
      </c>
      <c r="J228" s="3"/>
      <c r="K228" s="3"/>
      <c r="L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x14ac:dyDescent="0.2">
      <c r="A229" s="41">
        <v>39080</v>
      </c>
      <c r="B229" s="49">
        <v>2186.13</v>
      </c>
      <c r="C229" s="43">
        <f t="shared" si="12"/>
        <v>1.4026689673406478E-2</v>
      </c>
      <c r="D229" s="50">
        <v>3328.8989999999999</v>
      </c>
      <c r="E229" s="43">
        <f t="shared" si="13"/>
        <v>3.3486155991233613E-3</v>
      </c>
      <c r="F229" s="48">
        <v>1291.71</v>
      </c>
      <c r="G229" s="43">
        <f t="shared" si="14"/>
        <v>-5.8033480854339237E-3</v>
      </c>
      <c r="H229" s="48">
        <v>1456.21</v>
      </c>
      <c r="I229" s="43">
        <f t="shared" si="15"/>
        <v>-8.2205029013538988E-3</v>
      </c>
      <c r="J229" s="3"/>
      <c r="K229" s="3"/>
      <c r="L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x14ac:dyDescent="0.2">
      <c r="A230" s="41">
        <v>39113</v>
      </c>
      <c r="B230" s="49">
        <v>2219.19</v>
      </c>
      <c r="C230" s="43">
        <f t="shared" si="12"/>
        <v>1.5122613934212437E-2</v>
      </c>
      <c r="D230" s="50">
        <v>3384.6060000000002</v>
      </c>
      <c r="E230" s="43">
        <f t="shared" si="13"/>
        <v>1.6734361721397972E-2</v>
      </c>
      <c r="F230" s="48">
        <v>1291.18</v>
      </c>
      <c r="G230" s="43">
        <f t="shared" si="14"/>
        <v>-4.1030881544612541E-4</v>
      </c>
      <c r="H230" s="48">
        <v>1453.89</v>
      </c>
      <c r="I230" s="43">
        <f t="shared" si="15"/>
        <v>-1.5931768082899644E-3</v>
      </c>
      <c r="J230" s="3"/>
      <c r="K230" s="3"/>
      <c r="L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x14ac:dyDescent="0.2">
      <c r="A231" s="41">
        <v>39141</v>
      </c>
      <c r="B231" s="49">
        <v>2175.7800000000002</v>
      </c>
      <c r="C231" s="43">
        <f t="shared" si="12"/>
        <v>-1.9561191245454301E-2</v>
      </c>
      <c r="D231" s="50">
        <v>3357.7489999999998</v>
      </c>
      <c r="E231" s="43">
        <f t="shared" si="13"/>
        <v>-7.9350447289877613E-3</v>
      </c>
      <c r="F231" s="48">
        <v>1311.09</v>
      </c>
      <c r="G231" s="43">
        <f t="shared" si="14"/>
        <v>1.5420003407735416E-2</v>
      </c>
      <c r="H231" s="48">
        <v>1478</v>
      </c>
      <c r="I231" s="43">
        <f t="shared" si="15"/>
        <v>1.6583097758427368E-2</v>
      </c>
      <c r="J231" s="3"/>
      <c r="K231" s="3"/>
      <c r="L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x14ac:dyDescent="0.2">
      <c r="A232" s="41">
        <v>39171</v>
      </c>
      <c r="B232" s="49">
        <v>2200.12</v>
      </c>
      <c r="C232" s="43">
        <f t="shared" si="12"/>
        <v>1.1186792782358346E-2</v>
      </c>
      <c r="D232" s="50">
        <v>3393.6950000000002</v>
      </c>
      <c r="E232" s="43">
        <f t="shared" si="13"/>
        <v>1.0705386257281457E-2</v>
      </c>
      <c r="F232" s="48">
        <v>1311.13</v>
      </c>
      <c r="G232" s="43">
        <f t="shared" si="14"/>
        <v>3.0508965822573231E-5</v>
      </c>
      <c r="H232" s="48">
        <v>1477.28</v>
      </c>
      <c r="I232" s="43">
        <f t="shared" si="15"/>
        <v>-4.8714479025713242E-4</v>
      </c>
      <c r="J232" s="3"/>
      <c r="K232" s="3"/>
      <c r="L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x14ac:dyDescent="0.2">
      <c r="A233" s="41">
        <v>39202</v>
      </c>
      <c r="B233" s="49">
        <v>2297.5700000000002</v>
      </c>
      <c r="C233" s="43">
        <f t="shared" si="12"/>
        <v>4.4293038561533216E-2</v>
      </c>
      <c r="D233" s="50">
        <v>3454.654</v>
      </c>
      <c r="E233" s="43">
        <f t="shared" si="13"/>
        <v>1.796242738372178E-2</v>
      </c>
      <c r="F233" s="48">
        <v>1318.2</v>
      </c>
      <c r="G233" s="43">
        <f t="shared" si="14"/>
        <v>5.3922951957470211E-3</v>
      </c>
      <c r="H233" s="48">
        <v>1484.89</v>
      </c>
      <c r="I233" s="43">
        <f t="shared" si="15"/>
        <v>5.1513592548468878E-3</v>
      </c>
      <c r="J233" s="3"/>
      <c r="K233" s="3"/>
      <c r="L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x14ac:dyDescent="0.2">
      <c r="A234" s="41">
        <v>39233</v>
      </c>
      <c r="B234" s="49">
        <v>2377.75</v>
      </c>
      <c r="C234" s="43">
        <f t="shared" si="12"/>
        <v>3.489773978594779E-2</v>
      </c>
      <c r="D234" s="50">
        <v>3596.1410000000001</v>
      </c>
      <c r="E234" s="43">
        <f t="shared" si="13"/>
        <v>4.095547629371854E-2</v>
      </c>
      <c r="F234" s="48">
        <v>1308.21</v>
      </c>
      <c r="G234" s="43">
        <f t="shared" si="14"/>
        <v>-7.5785161583977745E-3</v>
      </c>
      <c r="H234" s="48">
        <v>1471.56</v>
      </c>
      <c r="I234" s="43">
        <f t="shared" si="15"/>
        <v>-8.9770959465012012E-3</v>
      </c>
      <c r="J234" s="3"/>
      <c r="K234" s="3"/>
      <c r="L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x14ac:dyDescent="0.2">
      <c r="A235" s="41">
        <v>39262</v>
      </c>
      <c r="B235" s="49">
        <v>2338.25</v>
      </c>
      <c r="C235" s="43">
        <f t="shared" si="12"/>
        <v>-1.6612343602144919E-2</v>
      </c>
      <c r="D235" s="50">
        <v>3543.5340000000001</v>
      </c>
      <c r="E235" s="43">
        <f t="shared" si="13"/>
        <v>-1.4628736748642512E-2</v>
      </c>
      <c r="F235" s="48">
        <v>1304.3399999999999</v>
      </c>
      <c r="G235" s="43">
        <f t="shared" si="14"/>
        <v>-2.9582406494370606E-3</v>
      </c>
      <c r="H235" s="48">
        <v>1470.92</v>
      </c>
      <c r="I235" s="43">
        <f t="shared" si="15"/>
        <v>-4.3491260974737322E-4</v>
      </c>
      <c r="J235" s="3"/>
      <c r="K235" s="3"/>
      <c r="L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x14ac:dyDescent="0.2">
      <c r="A236" s="41">
        <v>39294</v>
      </c>
      <c r="B236" s="49">
        <v>2265.75</v>
      </c>
      <c r="C236" s="43">
        <f t="shared" si="12"/>
        <v>-3.1006094301293752E-2</v>
      </c>
      <c r="D236" s="50">
        <v>3301.1750000000002</v>
      </c>
      <c r="E236" s="43">
        <f t="shared" si="13"/>
        <v>-6.8394715557971164E-2</v>
      </c>
      <c r="F236" s="48">
        <v>1315.22</v>
      </c>
      <c r="G236" s="43">
        <f t="shared" si="14"/>
        <v>8.3413833816337046E-3</v>
      </c>
      <c r="H236" s="48">
        <v>1495.31</v>
      </c>
      <c r="I236" s="43">
        <f t="shared" si="15"/>
        <v>1.65814592227993E-2</v>
      </c>
      <c r="J236" s="3"/>
      <c r="K236" s="3"/>
      <c r="L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x14ac:dyDescent="0.2">
      <c r="A237" s="41">
        <v>39325</v>
      </c>
      <c r="B237" s="49">
        <v>2299.71</v>
      </c>
      <c r="C237" s="43">
        <f t="shared" si="12"/>
        <v>1.498841443230714E-2</v>
      </c>
      <c r="D237" s="50">
        <v>3375.9989999999998</v>
      </c>
      <c r="E237" s="43">
        <f t="shared" si="13"/>
        <v>2.2665868970896508E-2</v>
      </c>
      <c r="F237" s="48">
        <v>1331.34</v>
      </c>
      <c r="G237" s="43">
        <f t="shared" si="14"/>
        <v>1.225650461519745E-2</v>
      </c>
      <c r="H237" s="48">
        <v>1518.75</v>
      </c>
      <c r="I237" s="43">
        <f t="shared" si="15"/>
        <v>1.567567929058189E-2</v>
      </c>
      <c r="J237" s="3"/>
      <c r="K237" s="3"/>
      <c r="L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x14ac:dyDescent="0.2">
      <c r="A238" s="41">
        <v>39353</v>
      </c>
      <c r="B238" s="49">
        <v>2385.7199999999998</v>
      </c>
      <c r="C238" s="43">
        <f t="shared" si="12"/>
        <v>3.7400367872470808E-2</v>
      </c>
      <c r="D238" s="50">
        <v>3433.9470000000001</v>
      </c>
      <c r="E238" s="43">
        <f t="shared" si="13"/>
        <v>1.7164697027457709E-2</v>
      </c>
      <c r="F238" s="48">
        <v>1341.44</v>
      </c>
      <c r="G238" s="43">
        <f t="shared" si="14"/>
        <v>7.5863415806631807E-3</v>
      </c>
      <c r="H238" s="48">
        <v>1526.94</v>
      </c>
      <c r="I238" s="43">
        <f t="shared" si="15"/>
        <v>5.3925925925926155E-3</v>
      </c>
      <c r="J238" s="3"/>
      <c r="K238" s="3"/>
      <c r="L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x14ac:dyDescent="0.2">
      <c r="A239" s="41">
        <v>39386</v>
      </c>
      <c r="B239" s="49">
        <v>2423.67</v>
      </c>
      <c r="C239" s="43">
        <f t="shared" si="12"/>
        <v>1.5907147527790544E-2</v>
      </c>
      <c r="D239" s="50">
        <v>3532.4690000000001</v>
      </c>
      <c r="E239" s="43">
        <f t="shared" si="13"/>
        <v>2.8690600058766114E-2</v>
      </c>
      <c r="F239" s="48">
        <v>1353.49</v>
      </c>
      <c r="G239" s="43">
        <f t="shared" si="14"/>
        <v>8.9828840648855657E-3</v>
      </c>
      <c r="H239" s="48">
        <v>1538.95</v>
      </c>
      <c r="I239" s="43">
        <f t="shared" si="15"/>
        <v>7.8654040106356238E-3</v>
      </c>
      <c r="J239" s="3"/>
      <c r="K239" s="3"/>
      <c r="L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x14ac:dyDescent="0.2">
      <c r="A240" s="41">
        <v>39416</v>
      </c>
      <c r="B240" s="49">
        <v>2322.34</v>
      </c>
      <c r="C240" s="43">
        <f t="shared" si="12"/>
        <v>-4.1808497031361469E-2</v>
      </c>
      <c r="D240" s="50">
        <v>3278.817</v>
      </c>
      <c r="E240" s="43">
        <f t="shared" si="13"/>
        <v>-7.1805867227709541E-2</v>
      </c>
      <c r="F240" s="48">
        <v>1377.83</v>
      </c>
      <c r="G240" s="43">
        <f t="shared" si="14"/>
        <v>1.7983139882821408E-2</v>
      </c>
      <c r="H240" s="48">
        <v>1586.18</v>
      </c>
      <c r="I240" s="43">
        <f t="shared" si="15"/>
        <v>3.0689756002469259E-2</v>
      </c>
      <c r="J240" s="3"/>
      <c r="K240" s="3"/>
      <c r="L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x14ac:dyDescent="0.2">
      <c r="A241" s="41">
        <v>39447</v>
      </c>
      <c r="B241" s="49">
        <v>2306.23</v>
      </c>
      <c r="C241" s="43">
        <f t="shared" si="12"/>
        <v>-6.9369687470396402E-3</v>
      </c>
      <c r="D241" s="50">
        <v>3276.7710000000002</v>
      </c>
      <c r="E241" s="43">
        <f t="shared" si="13"/>
        <v>-6.2400554834252109E-4</v>
      </c>
      <c r="F241" s="48">
        <v>1381.7</v>
      </c>
      <c r="G241" s="43">
        <f t="shared" si="14"/>
        <v>2.8087645065066891E-3</v>
      </c>
      <c r="H241" s="48">
        <v>1587.45</v>
      </c>
      <c r="I241" s="43">
        <f t="shared" si="15"/>
        <v>8.0066575041914945E-4</v>
      </c>
      <c r="J241" s="3"/>
      <c r="K241" s="3"/>
      <c r="L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x14ac:dyDescent="0.2">
      <c r="A242" s="41">
        <v>39478</v>
      </c>
      <c r="B242" s="49">
        <v>2167.9</v>
      </c>
      <c r="C242" s="43">
        <f t="shared" si="12"/>
        <v>-5.998100796538075E-2</v>
      </c>
      <c r="D242" s="50">
        <v>3053.3139999999999</v>
      </c>
      <c r="E242" s="43">
        <f t="shared" si="13"/>
        <v>-6.8194268076713471E-2</v>
      </c>
      <c r="F242" s="48">
        <v>1404.91</v>
      </c>
      <c r="G242" s="43">
        <f t="shared" si="14"/>
        <v>1.6798147209958758E-2</v>
      </c>
      <c r="H242" s="48">
        <v>1627.75</v>
      </c>
      <c r="I242" s="43">
        <f t="shared" si="15"/>
        <v>2.5386626350436314E-2</v>
      </c>
      <c r="J242" s="3"/>
      <c r="K242" s="3"/>
      <c r="L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x14ac:dyDescent="0.2">
      <c r="A243" s="41">
        <v>39507</v>
      </c>
      <c r="B243" s="49">
        <v>2097.48</v>
      </c>
      <c r="C243" s="43">
        <f t="shared" si="12"/>
        <v>-3.2483048111075274E-2</v>
      </c>
      <c r="D243" s="50">
        <v>2940.1370000000002</v>
      </c>
      <c r="E243" s="43">
        <f t="shared" si="13"/>
        <v>-3.7066937760086183E-2</v>
      </c>
      <c r="F243" s="48">
        <v>1406.86</v>
      </c>
      <c r="G243" s="43">
        <f t="shared" si="14"/>
        <v>1.3879892662163051E-3</v>
      </c>
      <c r="H243" s="48">
        <v>1646.3</v>
      </c>
      <c r="I243" s="43">
        <f t="shared" si="15"/>
        <v>1.1396098909537633E-2</v>
      </c>
      <c r="J243" s="3"/>
      <c r="K243" s="3"/>
      <c r="L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x14ac:dyDescent="0.2">
      <c r="A244" s="41">
        <v>39538</v>
      </c>
      <c r="B244" s="49">
        <v>2088.42</v>
      </c>
      <c r="C244" s="43">
        <f t="shared" si="12"/>
        <v>-4.319469077178284E-3</v>
      </c>
      <c r="D244" s="50">
        <v>2952.453</v>
      </c>
      <c r="E244" s="43">
        <f t="shared" si="13"/>
        <v>4.188920448264799E-3</v>
      </c>
      <c r="F244" s="48">
        <v>1411.66</v>
      </c>
      <c r="G244" s="43">
        <f t="shared" si="14"/>
        <v>3.4118533471703127E-3</v>
      </c>
      <c r="H244" s="48">
        <v>1657.72</v>
      </c>
      <c r="I244" s="43">
        <f t="shared" si="15"/>
        <v>6.9367672963616123E-3</v>
      </c>
      <c r="J244" s="3"/>
      <c r="K244" s="3"/>
      <c r="L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x14ac:dyDescent="0.2">
      <c r="A245" s="41">
        <v>39568</v>
      </c>
      <c r="B245" s="49">
        <v>2190.13</v>
      </c>
      <c r="C245" s="43">
        <f t="shared" si="12"/>
        <v>4.8701889466678194E-2</v>
      </c>
      <c r="D245" s="50">
        <v>3076.0740000000001</v>
      </c>
      <c r="E245" s="43">
        <f t="shared" si="13"/>
        <v>4.1870607254374637E-2</v>
      </c>
      <c r="F245" s="48">
        <v>1408.71</v>
      </c>
      <c r="G245" s="43">
        <f t="shared" si="14"/>
        <v>-2.0897383222588939E-3</v>
      </c>
      <c r="H245" s="48">
        <v>1629.23</v>
      </c>
      <c r="I245" s="43">
        <f t="shared" si="15"/>
        <v>-1.7186255821248442E-2</v>
      </c>
      <c r="J245" s="3"/>
      <c r="K245" s="3"/>
      <c r="L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x14ac:dyDescent="0.2">
      <c r="A246" s="41">
        <v>39598</v>
      </c>
      <c r="B246" s="49">
        <v>2218.5</v>
      </c>
      <c r="C246" s="43">
        <f t="shared" si="12"/>
        <v>1.2953568966225681E-2</v>
      </c>
      <c r="D246" s="50">
        <v>3217.3789999999999</v>
      </c>
      <c r="E246" s="43">
        <f t="shared" si="13"/>
        <v>4.5936801260307636E-2</v>
      </c>
      <c r="F246" s="48">
        <v>1398.38</v>
      </c>
      <c r="G246" s="43">
        <f t="shared" si="14"/>
        <v>-7.332950003904215E-3</v>
      </c>
      <c r="H246" s="48">
        <v>1610.21</v>
      </c>
      <c r="I246" s="43">
        <f t="shared" si="15"/>
        <v>-1.1674226475083316E-2</v>
      </c>
      <c r="J246" s="3"/>
      <c r="K246" s="3"/>
      <c r="L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x14ac:dyDescent="0.2">
      <c r="A247" s="41">
        <v>39629</v>
      </c>
      <c r="B247" s="49">
        <v>2031.47</v>
      </c>
      <c r="C247" s="43">
        <f t="shared" si="12"/>
        <v>-8.4304710389903059E-2</v>
      </c>
      <c r="D247" s="50">
        <v>2969.68</v>
      </c>
      <c r="E247" s="43">
        <f t="shared" si="13"/>
        <v>-7.6987821453425309E-2</v>
      </c>
      <c r="F247" s="48">
        <v>1397.25</v>
      </c>
      <c r="G247" s="43">
        <f t="shared" si="14"/>
        <v>-8.0807791873460655E-4</v>
      </c>
      <c r="H247" s="48">
        <v>1622.86</v>
      </c>
      <c r="I247" s="43">
        <f t="shared" si="15"/>
        <v>7.8561181460803375E-3</v>
      </c>
      <c r="J247" s="3"/>
      <c r="K247" s="3"/>
      <c r="L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x14ac:dyDescent="0.2">
      <c r="A248" s="41">
        <v>39660</v>
      </c>
      <c r="B248" s="49">
        <v>2014.39</v>
      </c>
      <c r="C248" s="43">
        <f t="shared" si="12"/>
        <v>-8.4077047655145565E-3</v>
      </c>
      <c r="D248" s="50">
        <v>3079.5770000000002</v>
      </c>
      <c r="E248" s="43">
        <f t="shared" si="13"/>
        <v>3.7006344117884948E-2</v>
      </c>
      <c r="F248" s="48">
        <v>1396.11</v>
      </c>
      <c r="G248" s="43">
        <f t="shared" si="14"/>
        <v>-8.1588835212031974E-4</v>
      </c>
      <c r="H248" s="48">
        <v>1629.72</v>
      </c>
      <c r="I248" s="43">
        <f t="shared" si="15"/>
        <v>4.2271052339697412E-3</v>
      </c>
      <c r="J248" s="3"/>
      <c r="K248" s="3"/>
      <c r="L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x14ac:dyDescent="0.2">
      <c r="A249" s="41">
        <v>39689</v>
      </c>
      <c r="B249" s="49">
        <v>2043.53</v>
      </c>
      <c r="C249" s="43">
        <f t="shared" si="12"/>
        <v>1.4465917721990129E-2</v>
      </c>
      <c r="D249" s="50">
        <v>3190.8850000000002</v>
      </c>
      <c r="E249" s="43">
        <f t="shared" si="13"/>
        <v>3.6143924961122842E-2</v>
      </c>
      <c r="F249" s="48">
        <v>1409.36</v>
      </c>
      <c r="G249" s="43">
        <f t="shared" si="14"/>
        <v>9.4906561803869138E-3</v>
      </c>
      <c r="H249" s="48">
        <v>1650.08</v>
      </c>
      <c r="I249" s="43">
        <f t="shared" si="15"/>
        <v>1.2492943573129134E-2</v>
      </c>
      <c r="J249" s="3"/>
      <c r="K249" s="3"/>
      <c r="L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x14ac:dyDescent="0.2">
      <c r="A250" s="41">
        <v>39721</v>
      </c>
      <c r="B250" s="49">
        <v>1861.44</v>
      </c>
      <c r="C250" s="43">
        <f t="shared" si="12"/>
        <v>-8.9105616262056264E-2</v>
      </c>
      <c r="D250" s="50">
        <v>2936.634</v>
      </c>
      <c r="E250" s="43">
        <f t="shared" si="13"/>
        <v>-7.9680402145486329E-2</v>
      </c>
      <c r="F250" s="48">
        <v>1390.43</v>
      </c>
      <c r="G250" s="43">
        <f t="shared" si="14"/>
        <v>-1.3431628540614082E-2</v>
      </c>
      <c r="H250" s="48">
        <v>1660.18</v>
      </c>
      <c r="I250" s="43">
        <f t="shared" si="15"/>
        <v>6.1209153495589419E-3</v>
      </c>
      <c r="J250" s="3"/>
      <c r="K250" s="3"/>
      <c r="L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x14ac:dyDescent="0.2">
      <c r="A251" s="41">
        <v>39752</v>
      </c>
      <c r="B251" s="49">
        <v>1548.81</v>
      </c>
      <c r="C251" s="43">
        <f t="shared" si="12"/>
        <v>-0.16795061887570917</v>
      </c>
      <c r="D251" s="50">
        <v>2325.7280000000001</v>
      </c>
      <c r="E251" s="43">
        <f t="shared" si="13"/>
        <v>-0.20802932881659753</v>
      </c>
      <c r="F251" s="48">
        <v>1357.61</v>
      </c>
      <c r="G251" s="43">
        <f t="shared" si="14"/>
        <v>-2.3604208769948953E-2</v>
      </c>
      <c r="H251" s="48">
        <v>1658.35</v>
      </c>
      <c r="I251" s="43">
        <f t="shared" si="15"/>
        <v>-1.1022901131203522E-3</v>
      </c>
      <c r="J251" s="3"/>
      <c r="K251" s="3"/>
      <c r="L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x14ac:dyDescent="0.2">
      <c r="A252" s="41">
        <v>39780</v>
      </c>
      <c r="B252" s="49">
        <v>1437.68</v>
      </c>
      <c r="C252" s="43">
        <f t="shared" si="12"/>
        <v>-7.1751861106268633E-2</v>
      </c>
      <c r="D252" s="50">
        <v>2050.625</v>
      </c>
      <c r="E252" s="43">
        <f t="shared" si="13"/>
        <v>-0.11828683319803523</v>
      </c>
      <c r="F252" s="48">
        <v>1401.8</v>
      </c>
      <c r="G252" s="43">
        <f t="shared" si="14"/>
        <v>3.254984863105026E-2</v>
      </c>
      <c r="H252" s="48">
        <v>1746.36</v>
      </c>
      <c r="I252" s="43">
        <f t="shared" si="15"/>
        <v>5.3070823408809975E-2</v>
      </c>
      <c r="J252" s="3"/>
      <c r="K252" s="3"/>
      <c r="L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x14ac:dyDescent="0.2">
      <c r="A253" s="41">
        <v>39813</v>
      </c>
      <c r="B253" s="49">
        <v>1452.98</v>
      </c>
      <c r="C253" s="43">
        <f t="shared" si="12"/>
        <v>1.0642145679149673E-2</v>
      </c>
      <c r="D253" s="50">
        <v>2169.645</v>
      </c>
      <c r="E253" s="43">
        <f t="shared" si="13"/>
        <v>5.8040841206949079E-2</v>
      </c>
      <c r="F253" s="48">
        <v>1454.1</v>
      </c>
      <c r="G253" s="43">
        <f t="shared" si="14"/>
        <v>3.7309173919246597E-2</v>
      </c>
      <c r="H253" s="48">
        <v>1805.52</v>
      </c>
      <c r="I253" s="43">
        <f t="shared" si="15"/>
        <v>3.3876176733319552E-2</v>
      </c>
      <c r="J253" s="3"/>
      <c r="K253" s="3"/>
      <c r="L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x14ac:dyDescent="0.2">
      <c r="A254" s="41">
        <v>39843</v>
      </c>
      <c r="B254" s="49">
        <v>1330.51</v>
      </c>
      <c r="C254" s="43">
        <f t="shared" si="12"/>
        <v>-8.4288840864981007E-2</v>
      </c>
      <c r="D254" s="50">
        <v>1928.3340000000001</v>
      </c>
      <c r="E254" s="43">
        <f t="shared" si="13"/>
        <v>-0.1112214210158804</v>
      </c>
      <c r="F254" s="48">
        <v>1441.27</v>
      </c>
      <c r="G254" s="43">
        <f t="shared" si="14"/>
        <v>-8.8233271439377425E-3</v>
      </c>
      <c r="H254" s="48">
        <v>1752.87</v>
      </c>
      <c r="I254" s="43">
        <f t="shared" si="15"/>
        <v>-2.9160574239000425E-2</v>
      </c>
      <c r="J254" s="3"/>
      <c r="K254" s="3"/>
      <c r="L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x14ac:dyDescent="0.2">
      <c r="A255" s="41">
        <v>39871</v>
      </c>
      <c r="B255" s="49">
        <v>1188.8399999999999</v>
      </c>
      <c r="C255" s="43">
        <f t="shared" si="12"/>
        <v>-0.10647796709532442</v>
      </c>
      <c r="D255" s="50">
        <v>1693.9960000000001</v>
      </c>
      <c r="E255" s="43">
        <f t="shared" si="13"/>
        <v>-0.12152355349228916</v>
      </c>
      <c r="F255" s="48">
        <v>1435.83</v>
      </c>
      <c r="G255" s="43">
        <f t="shared" si="14"/>
        <v>-3.7744489235188583E-3</v>
      </c>
      <c r="H255" s="48">
        <v>1743.65</v>
      </c>
      <c r="I255" s="43">
        <f t="shared" si="15"/>
        <v>-5.2599451185768586E-3</v>
      </c>
      <c r="J255" s="3"/>
      <c r="K255" s="3"/>
      <c r="L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x14ac:dyDescent="0.2">
      <c r="A256" s="41">
        <v>39903</v>
      </c>
      <c r="B256" s="49">
        <v>1292.98</v>
      </c>
      <c r="C256" s="43">
        <f t="shared" si="12"/>
        <v>8.7597994683893621E-2</v>
      </c>
      <c r="D256" s="50">
        <v>1845.2139999999999</v>
      </c>
      <c r="E256" s="43">
        <f t="shared" si="13"/>
        <v>8.9267034869031425E-2</v>
      </c>
      <c r="F256" s="48">
        <v>1455.79</v>
      </c>
      <c r="G256" s="43">
        <f t="shared" si="14"/>
        <v>1.3901367153493105E-2</v>
      </c>
      <c r="H256" s="48">
        <v>1781.64</v>
      </c>
      <c r="I256" s="43">
        <f t="shared" si="15"/>
        <v>2.1787629398101638E-2</v>
      </c>
      <c r="J256" s="3"/>
      <c r="K256" s="3"/>
      <c r="L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x14ac:dyDescent="0.2">
      <c r="A257" s="41">
        <v>39933</v>
      </c>
      <c r="B257" s="49">
        <v>1416.73</v>
      </c>
      <c r="C257" s="43">
        <f t="shared" si="12"/>
        <v>9.570913703228201E-2</v>
      </c>
      <c r="D257" s="50">
        <v>2130.4520000000002</v>
      </c>
      <c r="E257" s="43">
        <f t="shared" si="13"/>
        <v>0.15458261209810908</v>
      </c>
      <c r="F257" s="48">
        <v>1462.75</v>
      </c>
      <c r="G257" s="43">
        <f t="shared" si="14"/>
        <v>4.7809093344506337E-3</v>
      </c>
      <c r="H257" s="48">
        <v>1749.14</v>
      </c>
      <c r="I257" s="43">
        <f t="shared" si="15"/>
        <v>-1.8241620080375331E-2</v>
      </c>
      <c r="J257" s="3"/>
      <c r="K257" s="3"/>
      <c r="L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x14ac:dyDescent="0.2">
      <c r="A258" s="41">
        <v>39962</v>
      </c>
      <c r="B258" s="49">
        <v>1495.97</v>
      </c>
      <c r="C258" s="43">
        <f t="shared" si="12"/>
        <v>5.5931617174761694E-2</v>
      </c>
      <c r="D258" s="50">
        <v>2194.683</v>
      </c>
      <c r="E258" s="43">
        <f t="shared" si="13"/>
        <v>3.0149001244806239E-2</v>
      </c>
      <c r="F258" s="48">
        <v>1473.36</v>
      </c>
      <c r="G258" s="43">
        <f t="shared" si="14"/>
        <v>7.253460946846646E-3</v>
      </c>
      <c r="H258" s="48">
        <v>1731.49</v>
      </c>
      <c r="I258" s="43">
        <f t="shared" si="15"/>
        <v>-1.0090673130795702E-2</v>
      </c>
      <c r="J258" s="3"/>
      <c r="K258" s="3"/>
      <c r="L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x14ac:dyDescent="0.2">
      <c r="A259" s="41">
        <v>39994</v>
      </c>
      <c r="B259" s="49">
        <v>1498.94</v>
      </c>
      <c r="C259" s="43">
        <f t="shared" si="12"/>
        <v>1.9853339304933826E-3</v>
      </c>
      <c r="D259" s="50">
        <v>2226.9180000000001</v>
      </c>
      <c r="E259" s="43">
        <f t="shared" si="13"/>
        <v>1.4687770397820543E-2</v>
      </c>
      <c r="F259" s="48">
        <v>1481.74</v>
      </c>
      <c r="G259" s="43">
        <f t="shared" si="14"/>
        <v>5.6876798609981627E-3</v>
      </c>
      <c r="H259" s="48">
        <v>1727.82</v>
      </c>
      <c r="I259" s="43">
        <f t="shared" si="15"/>
        <v>-2.1195617647229437E-3</v>
      </c>
      <c r="J259" s="3"/>
      <c r="K259" s="3"/>
      <c r="L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x14ac:dyDescent="0.2">
      <c r="A260" s="41">
        <v>40025</v>
      </c>
      <c r="B260" s="49">
        <v>1612.31</v>
      </c>
      <c r="C260" s="43">
        <f t="shared" ref="C260:C323" si="16">B260/B259-1</f>
        <v>7.563344763632962E-2</v>
      </c>
      <c r="D260" s="50">
        <v>2441.3939999999998</v>
      </c>
      <c r="E260" s="43">
        <f t="shared" ref="E260:E323" si="17">D260/D259-1</f>
        <v>9.631068588964653E-2</v>
      </c>
      <c r="F260" s="48">
        <v>1505.64</v>
      </c>
      <c r="G260" s="43">
        <f t="shared" ref="G260:G323" si="18">F260/F259-1</f>
        <v>1.6129685369903113E-2</v>
      </c>
      <c r="H260" s="48">
        <v>1735.05</v>
      </c>
      <c r="I260" s="43">
        <f t="shared" ref="I260:I323" si="19">H260/H259-1</f>
        <v>4.1844636594090545E-3</v>
      </c>
      <c r="J260" s="3"/>
      <c r="K260" s="3"/>
      <c r="L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x14ac:dyDescent="0.2">
      <c r="A261" s="41">
        <v>40056</v>
      </c>
      <c r="B261" s="49">
        <v>1670.52</v>
      </c>
      <c r="C261" s="43">
        <f t="shared" si="16"/>
        <v>3.6103478859524474E-2</v>
      </c>
      <c r="D261" s="50">
        <v>2511.4</v>
      </c>
      <c r="E261" s="43">
        <f t="shared" si="17"/>
        <v>2.8674601477680417E-2</v>
      </c>
      <c r="F261" s="48">
        <v>1521.23</v>
      </c>
      <c r="G261" s="43">
        <f t="shared" si="18"/>
        <v>1.0354400786376505E-2</v>
      </c>
      <c r="H261" s="48">
        <v>1750.5</v>
      </c>
      <c r="I261" s="43">
        <f t="shared" si="19"/>
        <v>8.9046425175067778E-3</v>
      </c>
      <c r="J261" s="3"/>
      <c r="K261" s="3"/>
      <c r="L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x14ac:dyDescent="0.2">
      <c r="A262" s="41">
        <v>40086</v>
      </c>
      <c r="B262" s="49">
        <v>1732.86</v>
      </c>
      <c r="C262" s="43">
        <f t="shared" si="16"/>
        <v>3.7317721428058226E-2</v>
      </c>
      <c r="D262" s="50">
        <v>2656.25</v>
      </c>
      <c r="E262" s="43">
        <f t="shared" si="17"/>
        <v>5.7676992912319758E-2</v>
      </c>
      <c r="F262" s="48">
        <v>1537.21</v>
      </c>
      <c r="G262" s="43">
        <f t="shared" si="18"/>
        <v>1.0504657415381091E-2</v>
      </c>
      <c r="H262" s="48">
        <v>1764.12</v>
      </c>
      <c r="I262" s="43">
        <f t="shared" si="19"/>
        <v>7.7806341045414396E-3</v>
      </c>
      <c r="J262" s="3"/>
      <c r="K262" s="3"/>
      <c r="L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x14ac:dyDescent="0.2">
      <c r="A263" s="41">
        <v>40116</v>
      </c>
      <c r="B263" s="49">
        <v>1700.67</v>
      </c>
      <c r="C263" s="43">
        <f t="shared" si="16"/>
        <v>-1.8576226584951949E-2</v>
      </c>
      <c r="D263" s="50">
        <v>2475.904</v>
      </c>
      <c r="E263" s="43">
        <f t="shared" si="17"/>
        <v>-6.7894964705882299E-2</v>
      </c>
      <c r="F263" s="48">
        <v>1544.8</v>
      </c>
      <c r="G263" s="43">
        <f t="shared" si="18"/>
        <v>4.9375166698109041E-3</v>
      </c>
      <c r="H263" s="48">
        <v>1763.26</v>
      </c>
      <c r="I263" s="43">
        <f t="shared" si="19"/>
        <v>-4.874951817336326E-4</v>
      </c>
      <c r="J263" s="3"/>
      <c r="K263" s="3"/>
      <c r="L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x14ac:dyDescent="0.2">
      <c r="A264" s="41">
        <v>40147</v>
      </c>
      <c r="B264" s="49">
        <v>1802.68</v>
      </c>
      <c r="C264" s="43">
        <f t="shared" si="16"/>
        <v>5.9982242292743404E-2</v>
      </c>
      <c r="D264" s="50">
        <v>2553.623</v>
      </c>
      <c r="E264" s="43">
        <f t="shared" si="17"/>
        <v>3.1390150829757602E-2</v>
      </c>
      <c r="F264" s="48">
        <v>1564.8</v>
      </c>
      <c r="G264" s="43">
        <f t="shared" si="18"/>
        <v>1.2946659761781554E-2</v>
      </c>
      <c r="H264" s="48">
        <v>1787.81</v>
      </c>
      <c r="I264" s="43">
        <f t="shared" si="19"/>
        <v>1.3923074305547622E-2</v>
      </c>
      <c r="J264" s="3"/>
      <c r="K264" s="3"/>
      <c r="L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x14ac:dyDescent="0.2">
      <c r="A265" s="41">
        <v>40178</v>
      </c>
      <c r="B265" s="49">
        <v>1837.5</v>
      </c>
      <c r="C265" s="43">
        <f t="shared" si="16"/>
        <v>1.9315685534870175E-2</v>
      </c>
      <c r="D265" s="50">
        <v>2759.1750000000002</v>
      </c>
      <c r="E265" s="43">
        <f t="shared" si="17"/>
        <v>8.0494262465524491E-2</v>
      </c>
      <c r="F265" s="48">
        <v>1540.34</v>
      </c>
      <c r="G265" s="43">
        <f t="shared" si="18"/>
        <v>-1.5631390593047079E-2</v>
      </c>
      <c r="H265" s="48">
        <v>1741.11</v>
      </c>
      <c r="I265" s="43">
        <f t="shared" si="19"/>
        <v>-2.6121343990692547E-2</v>
      </c>
      <c r="J265" s="3"/>
      <c r="K265" s="3"/>
      <c r="L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x14ac:dyDescent="0.2">
      <c r="A266" s="41">
        <v>40207</v>
      </c>
      <c r="B266" s="49">
        <v>1771.4</v>
      </c>
      <c r="C266" s="43">
        <f t="shared" si="16"/>
        <v>-3.5972789115646164E-2</v>
      </c>
      <c r="D266" s="50">
        <v>2657.6060000000002</v>
      </c>
      <c r="E266" s="43">
        <f t="shared" si="17"/>
        <v>-3.6811365716201361E-2</v>
      </c>
      <c r="F266" s="48">
        <v>1563.87</v>
      </c>
      <c r="G266" s="43">
        <f t="shared" si="18"/>
        <v>1.5275848189360675E-2</v>
      </c>
      <c r="H266" s="48">
        <v>1768.63</v>
      </c>
      <c r="I266" s="43">
        <f t="shared" si="19"/>
        <v>1.5806008810471672E-2</v>
      </c>
      <c r="J266" s="3"/>
      <c r="K266" s="3"/>
      <c r="L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x14ac:dyDescent="0.2">
      <c r="A267" s="41">
        <v>40235</v>
      </c>
      <c r="B267" s="49">
        <v>1826.27</v>
      </c>
      <c r="C267" s="43">
        <f t="shared" si="16"/>
        <v>3.0975499604832368E-2</v>
      </c>
      <c r="D267" s="50">
        <v>2777.32</v>
      </c>
      <c r="E267" s="43">
        <f t="shared" si="17"/>
        <v>4.5045804381838472E-2</v>
      </c>
      <c r="F267" s="48">
        <v>1569.71</v>
      </c>
      <c r="G267" s="43">
        <f t="shared" si="18"/>
        <v>3.734325743188549E-3</v>
      </c>
      <c r="H267" s="48">
        <v>1775.62</v>
      </c>
      <c r="I267" s="43">
        <f t="shared" si="19"/>
        <v>3.9522115988079864E-3</v>
      </c>
      <c r="J267" s="3"/>
      <c r="K267" s="3"/>
      <c r="L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x14ac:dyDescent="0.2">
      <c r="A268" s="41">
        <v>40268</v>
      </c>
      <c r="B268" s="49">
        <v>1936.48</v>
      </c>
      <c r="C268" s="43">
        <f t="shared" si="16"/>
        <v>6.034704616513431E-2</v>
      </c>
      <c r="D268" s="50">
        <v>3003.3620000000001</v>
      </c>
      <c r="E268" s="43">
        <f t="shared" si="17"/>
        <v>8.1388532830210414E-2</v>
      </c>
      <c r="F268" s="48">
        <v>1567.78</v>
      </c>
      <c r="G268" s="43">
        <f t="shared" si="18"/>
        <v>-1.2295264730428634E-3</v>
      </c>
      <c r="H268" s="48">
        <v>1760.58</v>
      </c>
      <c r="I268" s="43">
        <f t="shared" si="19"/>
        <v>-8.4702808033250143E-3</v>
      </c>
      <c r="J268" s="3"/>
      <c r="K268" s="3"/>
      <c r="L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x14ac:dyDescent="0.2">
      <c r="A269" s="41">
        <v>40298</v>
      </c>
      <c r="B269" s="49">
        <v>1967.05</v>
      </c>
      <c r="C269" s="43">
        <f t="shared" si="16"/>
        <v>1.5786375278856513E-2</v>
      </c>
      <c r="D269" s="50">
        <v>3173.335</v>
      </c>
      <c r="E269" s="43">
        <f t="shared" si="17"/>
        <v>5.6594243384580301E-2</v>
      </c>
      <c r="F269" s="48">
        <v>1584.1</v>
      </c>
      <c r="G269" s="43">
        <f t="shared" si="18"/>
        <v>1.0409623799257472E-2</v>
      </c>
      <c r="H269" s="48">
        <v>1779.03</v>
      </c>
      <c r="I269" s="43">
        <f t="shared" si="19"/>
        <v>1.0479501073509923E-2</v>
      </c>
      <c r="J269" s="3"/>
      <c r="K269" s="3"/>
      <c r="L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x14ac:dyDescent="0.2">
      <c r="A270" s="41">
        <v>40329</v>
      </c>
      <c r="B270" s="49">
        <v>1809.98</v>
      </c>
      <c r="C270" s="43">
        <f t="shared" si="16"/>
        <v>-7.985053760707661E-2</v>
      </c>
      <c r="D270" s="50">
        <v>2932.627</v>
      </c>
      <c r="E270" s="43">
        <f t="shared" si="17"/>
        <v>-7.5853321505608529E-2</v>
      </c>
      <c r="F270" s="48">
        <v>1597.43</v>
      </c>
      <c r="G270" s="43">
        <f t="shared" si="18"/>
        <v>8.4148727984345584E-3</v>
      </c>
      <c r="H270" s="48">
        <v>1809.46</v>
      </c>
      <c r="I270" s="43">
        <f t="shared" si="19"/>
        <v>1.7104826787631477E-2</v>
      </c>
      <c r="J270" s="3"/>
      <c r="K270" s="3"/>
      <c r="L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x14ac:dyDescent="0.2">
      <c r="A271" s="41">
        <v>40359</v>
      </c>
      <c r="B271" s="49">
        <v>1715.23</v>
      </c>
      <c r="C271" s="43">
        <f t="shared" si="16"/>
        <v>-5.234864473640588E-2</v>
      </c>
      <c r="D271" s="50">
        <v>2705.366</v>
      </c>
      <c r="E271" s="43">
        <f t="shared" si="17"/>
        <v>-7.7494001112313304E-2</v>
      </c>
      <c r="F271" s="48">
        <v>1622.48</v>
      </c>
      <c r="G271" s="43">
        <f t="shared" si="18"/>
        <v>1.56814383102859E-2</v>
      </c>
      <c r="H271" s="48">
        <v>1843.06</v>
      </c>
      <c r="I271" s="43">
        <f t="shared" si="19"/>
        <v>1.8569075856885497E-2</v>
      </c>
      <c r="J271" s="3"/>
      <c r="K271" s="3"/>
      <c r="L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x14ac:dyDescent="0.2">
      <c r="A272" s="41">
        <v>40389</v>
      </c>
      <c r="B272" s="49">
        <v>1835.4</v>
      </c>
      <c r="C272" s="43">
        <f t="shared" si="16"/>
        <v>7.0060574966622546E-2</v>
      </c>
      <c r="D272" s="50">
        <v>2891.277</v>
      </c>
      <c r="E272" s="43">
        <f t="shared" si="17"/>
        <v>6.8719352575584924E-2</v>
      </c>
      <c r="F272" s="48">
        <v>1639.79</v>
      </c>
      <c r="G272" s="43">
        <f t="shared" si="18"/>
        <v>1.0668852620679514E-2</v>
      </c>
      <c r="H272" s="48">
        <v>1855.63</v>
      </c>
      <c r="I272" s="43">
        <f t="shared" si="19"/>
        <v>6.8201794841189489E-3</v>
      </c>
      <c r="J272" s="3"/>
      <c r="K272" s="3"/>
      <c r="L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x14ac:dyDescent="0.2">
      <c r="A273" s="41">
        <v>40421</v>
      </c>
      <c r="B273" s="49">
        <v>1752.55</v>
      </c>
      <c r="C273" s="43">
        <f t="shared" si="16"/>
        <v>-4.5140023972976007E-2</v>
      </c>
      <c r="D273" s="50">
        <v>2677.2130000000002</v>
      </c>
      <c r="E273" s="43">
        <f t="shared" si="17"/>
        <v>-7.403787323040989E-2</v>
      </c>
      <c r="F273" s="48">
        <v>1660.89</v>
      </c>
      <c r="G273" s="43">
        <f t="shared" si="18"/>
        <v>1.2867501326389474E-2</v>
      </c>
      <c r="H273" s="48">
        <v>1892.89</v>
      </c>
      <c r="I273" s="43">
        <f t="shared" si="19"/>
        <v>2.00794339388779E-2</v>
      </c>
      <c r="J273" s="3"/>
      <c r="K273" s="3"/>
      <c r="L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x14ac:dyDescent="0.2">
      <c r="A274" s="41">
        <v>40451</v>
      </c>
      <c r="B274" s="49">
        <v>1908.95</v>
      </c>
      <c r="C274" s="43">
        <f t="shared" si="16"/>
        <v>8.924139111580276E-2</v>
      </c>
      <c r="D274" s="50">
        <v>3010.7829999999999</v>
      </c>
      <c r="E274" s="43">
        <f t="shared" si="17"/>
        <v>0.12459598844021746</v>
      </c>
      <c r="F274" s="48">
        <v>1662.66</v>
      </c>
      <c r="G274" s="43">
        <f t="shared" si="18"/>
        <v>1.065693694344505E-3</v>
      </c>
      <c r="H274" s="48">
        <v>1893.29</v>
      </c>
      <c r="I274" s="43">
        <f t="shared" si="19"/>
        <v>2.1131708657118331E-4</v>
      </c>
      <c r="J274" s="3"/>
      <c r="K274" s="3"/>
      <c r="L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x14ac:dyDescent="0.2">
      <c r="A275" s="41">
        <v>40480</v>
      </c>
      <c r="B275" s="49">
        <v>1981.59</v>
      </c>
      <c r="C275" s="43">
        <f t="shared" si="16"/>
        <v>3.8052332434060476E-2</v>
      </c>
      <c r="D275" s="50">
        <v>3133.989</v>
      </c>
      <c r="E275" s="43">
        <f t="shared" si="17"/>
        <v>4.0921580864512697E-2</v>
      </c>
      <c r="F275" s="48">
        <v>1668.58</v>
      </c>
      <c r="G275" s="43">
        <f t="shared" si="18"/>
        <v>3.5605595852428173E-3</v>
      </c>
      <c r="H275" s="48">
        <v>1890.3</v>
      </c>
      <c r="I275" s="43">
        <f t="shared" si="19"/>
        <v>-1.5792614971821273E-3</v>
      </c>
      <c r="J275" s="3"/>
      <c r="K275" s="3"/>
      <c r="L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x14ac:dyDescent="0.2">
      <c r="A276" s="41">
        <v>40512</v>
      </c>
      <c r="B276" s="49">
        <v>1981.84</v>
      </c>
      <c r="C276" s="43">
        <f t="shared" si="16"/>
        <v>1.2616131490372773E-4</v>
      </c>
      <c r="D276" s="50">
        <v>3242.6559999999999</v>
      </c>
      <c r="E276" s="43">
        <f t="shared" si="17"/>
        <v>3.4673701790274292E-2</v>
      </c>
      <c r="F276" s="48">
        <v>1658.99</v>
      </c>
      <c r="G276" s="43">
        <f t="shared" si="18"/>
        <v>-5.7474019825239919E-3</v>
      </c>
      <c r="H276" s="48">
        <v>1877.09</v>
      </c>
      <c r="I276" s="43">
        <f t="shared" si="19"/>
        <v>-6.9883087340634198E-3</v>
      </c>
      <c r="J276" s="3"/>
      <c r="K276" s="3"/>
      <c r="L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x14ac:dyDescent="0.2">
      <c r="A277" s="41">
        <v>40543</v>
      </c>
      <c r="B277" s="49">
        <v>2114.29</v>
      </c>
      <c r="C277" s="43">
        <f t="shared" si="16"/>
        <v>6.6831833044039834E-2</v>
      </c>
      <c r="D277" s="50">
        <v>3500.1480000000001</v>
      </c>
      <c r="E277" s="43">
        <f t="shared" si="17"/>
        <v>7.9407744762318266E-2</v>
      </c>
      <c r="F277" s="48">
        <v>1641.1</v>
      </c>
      <c r="G277" s="43">
        <f t="shared" si="18"/>
        <v>-1.0783669582095201E-2</v>
      </c>
      <c r="H277" s="48">
        <v>1843.32</v>
      </c>
      <c r="I277" s="43">
        <f t="shared" si="19"/>
        <v>-1.7990613129897914E-2</v>
      </c>
      <c r="J277" s="3"/>
      <c r="K277" s="3"/>
      <c r="L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x14ac:dyDescent="0.2">
      <c r="A278" s="41">
        <v>40574</v>
      </c>
      <c r="B278" s="49">
        <v>2164.4</v>
      </c>
      <c r="C278" s="43">
        <f t="shared" si="16"/>
        <v>2.3700627633862936E-2</v>
      </c>
      <c r="D278" s="50">
        <v>3491.1289999999999</v>
      </c>
      <c r="E278" s="43">
        <f t="shared" si="17"/>
        <v>-2.5767481832197348E-3</v>
      </c>
      <c r="F278" s="48">
        <v>1643.01</v>
      </c>
      <c r="G278" s="43">
        <f t="shared" si="18"/>
        <v>1.1638535128877248E-3</v>
      </c>
      <c r="H278" s="48">
        <v>1842.86</v>
      </c>
      <c r="I278" s="43">
        <f t="shared" si="19"/>
        <v>-2.4954972549529053E-4</v>
      </c>
      <c r="J278" s="3"/>
      <c r="K278" s="3"/>
      <c r="L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x14ac:dyDescent="0.2">
      <c r="A279" s="41">
        <v>40602</v>
      </c>
      <c r="B279" s="49">
        <v>2238.5500000000002</v>
      </c>
      <c r="C279" s="43">
        <f t="shared" si="16"/>
        <v>3.425891702088335E-2</v>
      </c>
      <c r="D279" s="50">
        <v>3682.5880000000002</v>
      </c>
      <c r="E279" s="43">
        <f t="shared" si="17"/>
        <v>5.4841571308307469E-2</v>
      </c>
      <c r="F279" s="48">
        <v>1647.12</v>
      </c>
      <c r="G279" s="43">
        <f t="shared" si="18"/>
        <v>2.5015063815800875E-3</v>
      </c>
      <c r="H279" s="48">
        <v>1841.49</v>
      </c>
      <c r="I279" s="43">
        <f t="shared" si="19"/>
        <v>-7.4340970013997421E-4</v>
      </c>
      <c r="J279" s="3"/>
      <c r="K279" s="3"/>
      <c r="L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x14ac:dyDescent="0.2">
      <c r="A280" s="41">
        <v>40633</v>
      </c>
      <c r="B280" s="49">
        <v>2239.44</v>
      </c>
      <c r="C280" s="43">
        <f t="shared" si="16"/>
        <v>3.9757878984159056E-4</v>
      </c>
      <c r="D280" s="50">
        <v>3778.0259999999998</v>
      </c>
      <c r="E280" s="43">
        <f t="shared" si="17"/>
        <v>2.5916013412306649E-2</v>
      </c>
      <c r="F280" s="48">
        <v>1648.03</v>
      </c>
      <c r="G280" s="43">
        <f t="shared" si="18"/>
        <v>5.5247947933367847E-4</v>
      </c>
      <c r="H280" s="48">
        <v>1840.37</v>
      </c>
      <c r="I280" s="43">
        <f t="shared" si="19"/>
        <v>-6.0820313984877306E-4</v>
      </c>
      <c r="J280" s="3"/>
      <c r="K280" s="3"/>
      <c r="L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x14ac:dyDescent="0.2">
      <c r="A281" s="41">
        <v>40662</v>
      </c>
      <c r="B281" s="49">
        <v>2305.7600000000002</v>
      </c>
      <c r="C281" s="43">
        <f t="shared" si="16"/>
        <v>2.9614546493766269E-2</v>
      </c>
      <c r="D281" s="50">
        <v>3877.788</v>
      </c>
      <c r="E281" s="43">
        <f t="shared" si="17"/>
        <v>2.6405853215409447E-2</v>
      </c>
      <c r="F281" s="48">
        <v>1668.95</v>
      </c>
      <c r="G281" s="43">
        <f t="shared" si="18"/>
        <v>1.2693943678209862E-2</v>
      </c>
      <c r="H281" s="48">
        <v>1861.6</v>
      </c>
      <c r="I281" s="43">
        <f t="shared" si="19"/>
        <v>1.1535723794671826E-2</v>
      </c>
      <c r="J281" s="3"/>
      <c r="K281" s="3"/>
      <c r="L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x14ac:dyDescent="0.2">
      <c r="A282" s="41">
        <v>40694</v>
      </c>
      <c r="B282" s="49">
        <v>2279.66</v>
      </c>
      <c r="C282" s="43">
        <f t="shared" si="16"/>
        <v>-1.1319478176393227E-2</v>
      </c>
      <c r="D282" s="50">
        <v>3805.085</v>
      </c>
      <c r="E282" s="43">
        <f t="shared" si="17"/>
        <v>-1.8748575218655583E-2</v>
      </c>
      <c r="F282" s="48">
        <v>1690.73</v>
      </c>
      <c r="G282" s="43">
        <f t="shared" si="18"/>
        <v>1.3050121333772813E-2</v>
      </c>
      <c r="H282" s="48">
        <v>1890.67</v>
      </c>
      <c r="I282" s="43">
        <f t="shared" si="19"/>
        <v>1.5615599484314568E-2</v>
      </c>
      <c r="J282" s="3"/>
      <c r="K282" s="3"/>
      <c r="L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x14ac:dyDescent="0.2">
      <c r="A283" s="41">
        <v>40724</v>
      </c>
      <c r="B283" s="49">
        <v>2241.66</v>
      </c>
      <c r="C283" s="43">
        <f t="shared" si="16"/>
        <v>-1.6669152417465805E-2</v>
      </c>
      <c r="D283" s="50">
        <v>3717.355</v>
      </c>
      <c r="E283" s="43">
        <f t="shared" si="17"/>
        <v>-2.3055989550824774E-2</v>
      </c>
      <c r="F283" s="48">
        <v>1685.78</v>
      </c>
      <c r="G283" s="43">
        <f t="shared" si="18"/>
        <v>-2.9277294423118994E-3</v>
      </c>
      <c r="H283" s="48">
        <v>1884.28</v>
      </c>
      <c r="I283" s="43">
        <f t="shared" si="19"/>
        <v>-3.3797542670058744E-3</v>
      </c>
      <c r="J283" s="3"/>
      <c r="K283" s="3"/>
      <c r="L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x14ac:dyDescent="0.2">
      <c r="A284" s="41">
        <v>40753</v>
      </c>
      <c r="B284" s="49">
        <v>2196.08</v>
      </c>
      <c r="C284" s="43">
        <f t="shared" si="16"/>
        <v>-2.0333145972181277E-2</v>
      </c>
      <c r="D284" s="50">
        <v>3582.991</v>
      </c>
      <c r="E284" s="43">
        <f t="shared" si="17"/>
        <v>-3.614505474994989E-2</v>
      </c>
      <c r="F284" s="48">
        <v>1712.53</v>
      </c>
      <c r="G284" s="43">
        <f t="shared" si="18"/>
        <v>1.5868025483752435E-2</v>
      </c>
      <c r="H284" s="48">
        <v>1918.62</v>
      </c>
      <c r="I284" s="43">
        <f t="shared" si="19"/>
        <v>1.8224467701190905E-2</v>
      </c>
      <c r="J284" s="3"/>
      <c r="K284" s="3"/>
      <c r="L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x14ac:dyDescent="0.2">
      <c r="A285" s="41">
        <v>40786</v>
      </c>
      <c r="B285" s="49">
        <v>2076.7800000000002</v>
      </c>
      <c r="C285" s="43">
        <f t="shared" si="16"/>
        <v>-5.432406833995107E-2</v>
      </c>
      <c r="D285" s="50">
        <v>3271.2620000000002</v>
      </c>
      <c r="E285" s="43">
        <f t="shared" si="17"/>
        <v>-8.7002451303952455E-2</v>
      </c>
      <c r="F285" s="48">
        <v>1737.55</v>
      </c>
      <c r="G285" s="43">
        <f t="shared" si="18"/>
        <v>1.4609963037143903E-2</v>
      </c>
      <c r="H285" s="48">
        <v>1971.91</v>
      </c>
      <c r="I285" s="43">
        <f t="shared" si="19"/>
        <v>2.7775171738020132E-2</v>
      </c>
      <c r="J285" s="3"/>
      <c r="K285" s="3"/>
      <c r="L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x14ac:dyDescent="0.2">
      <c r="A286" s="41">
        <v>40816</v>
      </c>
      <c r="B286" s="49">
        <v>1930.79</v>
      </c>
      <c r="C286" s="43">
        <f t="shared" si="16"/>
        <v>-7.0296324117143039E-2</v>
      </c>
      <c r="D286" s="50">
        <v>2904.547</v>
      </c>
      <c r="E286" s="43">
        <f t="shared" si="17"/>
        <v>-0.11210199611036964</v>
      </c>
      <c r="F286" s="48">
        <v>1750.19</v>
      </c>
      <c r="G286" s="43">
        <f t="shared" si="18"/>
        <v>7.274610802566972E-3</v>
      </c>
      <c r="H286" s="48">
        <v>2006.35</v>
      </c>
      <c r="I286" s="43">
        <f t="shared" si="19"/>
        <v>1.7465300140472761E-2</v>
      </c>
      <c r="J286" s="3"/>
      <c r="K286" s="3"/>
      <c r="L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x14ac:dyDescent="0.2">
      <c r="A287" s="41">
        <v>40847</v>
      </c>
      <c r="B287" s="49">
        <v>2141.81</v>
      </c>
      <c r="C287" s="43">
        <f t="shared" si="16"/>
        <v>0.10929205144008414</v>
      </c>
      <c r="D287" s="50">
        <v>3344.174</v>
      </c>
      <c r="E287" s="43">
        <f t="shared" si="17"/>
        <v>0.15135819802537198</v>
      </c>
      <c r="F287" s="48">
        <v>1752.07</v>
      </c>
      <c r="G287" s="43">
        <f t="shared" si="18"/>
        <v>1.0741690902129619E-3</v>
      </c>
      <c r="H287" s="48">
        <v>1989.99</v>
      </c>
      <c r="I287" s="43">
        <f t="shared" si="19"/>
        <v>-8.1541106985321132E-3</v>
      </c>
      <c r="J287" s="3"/>
      <c r="K287" s="3"/>
      <c r="L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x14ac:dyDescent="0.2">
      <c r="A288" s="41">
        <v>40877</v>
      </c>
      <c r="B288" s="49">
        <v>2137.08</v>
      </c>
      <c r="C288" s="43">
        <f t="shared" si="16"/>
        <v>-2.2084125109136377E-3</v>
      </c>
      <c r="D288" s="50">
        <v>3331.9839999999999</v>
      </c>
      <c r="E288" s="43">
        <f t="shared" si="17"/>
        <v>-3.6451452585900546E-3</v>
      </c>
      <c r="F288" s="48">
        <v>1750.55</v>
      </c>
      <c r="G288" s="43">
        <f t="shared" si="18"/>
        <v>-8.6754524647991715E-4</v>
      </c>
      <c r="H288" s="48">
        <v>2004.84</v>
      </c>
      <c r="I288" s="43">
        <f t="shared" si="19"/>
        <v>7.4623490570304707E-3</v>
      </c>
      <c r="J288" s="3"/>
      <c r="K288" s="3"/>
      <c r="L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x14ac:dyDescent="0.2">
      <c r="A289" s="41">
        <v>40907</v>
      </c>
      <c r="B289" s="49">
        <v>2158.94</v>
      </c>
      <c r="C289" s="43">
        <f t="shared" si="16"/>
        <v>1.0228910475976516E-2</v>
      </c>
      <c r="D289" s="50">
        <v>3353.9940000000001</v>
      </c>
      <c r="E289" s="43">
        <f t="shared" si="17"/>
        <v>6.6056739768258765E-3</v>
      </c>
      <c r="F289" s="48">
        <v>1769.79</v>
      </c>
      <c r="G289" s="43">
        <f t="shared" si="18"/>
        <v>1.0990831452971861E-2</v>
      </c>
      <c r="H289" s="48">
        <v>2024.21</v>
      </c>
      <c r="I289" s="43">
        <f t="shared" si="19"/>
        <v>9.6616188823048788E-3</v>
      </c>
      <c r="J289" s="3"/>
      <c r="K289" s="3"/>
      <c r="L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x14ac:dyDescent="0.2">
      <c r="A290" s="41">
        <v>40939</v>
      </c>
      <c r="B290" s="49">
        <v>2255.69</v>
      </c>
      <c r="C290" s="43">
        <f t="shared" si="16"/>
        <v>4.4813658554661018E-2</v>
      </c>
      <c r="D290" s="50">
        <v>3590.9569999999999</v>
      </c>
      <c r="E290" s="43">
        <f t="shared" si="17"/>
        <v>7.065099102741379E-2</v>
      </c>
      <c r="F290" s="48">
        <v>1785.33</v>
      </c>
      <c r="G290" s="43">
        <f t="shared" si="18"/>
        <v>8.7807027952468975E-3</v>
      </c>
      <c r="H290" s="48">
        <v>2032.77</v>
      </c>
      <c r="I290" s="43">
        <f t="shared" si="19"/>
        <v>4.2288102519008053E-3</v>
      </c>
      <c r="J290" s="3"/>
      <c r="K290" s="3"/>
      <c r="L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x14ac:dyDescent="0.2">
      <c r="A291" s="41">
        <v>40968</v>
      </c>
      <c r="B291" s="49">
        <v>2353.23</v>
      </c>
      <c r="C291" s="43">
        <f t="shared" si="16"/>
        <v>4.3241757511005563E-2</v>
      </c>
      <c r="D291" s="50">
        <v>3676.8969999999999</v>
      </c>
      <c r="E291" s="43">
        <f t="shared" si="17"/>
        <v>2.3932338928035035E-2</v>
      </c>
      <c r="F291" s="48">
        <v>1784.92</v>
      </c>
      <c r="G291" s="43">
        <f t="shared" si="18"/>
        <v>-2.2964942055525572E-4</v>
      </c>
      <c r="H291" s="48">
        <v>2018.29</v>
      </c>
      <c r="I291" s="43">
        <f t="shared" si="19"/>
        <v>-7.123284975673605E-3</v>
      </c>
      <c r="J291" s="3"/>
      <c r="K291" s="3"/>
      <c r="L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x14ac:dyDescent="0.2">
      <c r="A292" s="41">
        <v>40998</v>
      </c>
      <c r="B292" s="49">
        <v>2430.67</v>
      </c>
      <c r="C292" s="43">
        <f t="shared" si="16"/>
        <v>3.2907960547842841E-2</v>
      </c>
      <c r="D292" s="50">
        <v>3771.107</v>
      </c>
      <c r="E292" s="43">
        <f t="shared" si="17"/>
        <v>2.5622148240758369E-2</v>
      </c>
      <c r="F292" s="48">
        <v>1775.14</v>
      </c>
      <c r="G292" s="43">
        <f t="shared" si="18"/>
        <v>-5.4792371646907867E-3</v>
      </c>
      <c r="H292" s="48">
        <v>1998.04</v>
      </c>
      <c r="I292" s="43">
        <f t="shared" si="19"/>
        <v>-1.0033245965644144E-2</v>
      </c>
      <c r="J292" s="3"/>
      <c r="K292" s="3"/>
      <c r="L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x14ac:dyDescent="0.2">
      <c r="A293" s="41">
        <v>41029</v>
      </c>
      <c r="B293" s="49">
        <v>2415.42</v>
      </c>
      <c r="C293" s="43">
        <f t="shared" si="16"/>
        <v>-6.2739902989710217E-3</v>
      </c>
      <c r="D293" s="50">
        <v>3712.8560000000002</v>
      </c>
      <c r="E293" s="43">
        <f t="shared" si="17"/>
        <v>-1.5446657970723088E-2</v>
      </c>
      <c r="F293" s="48">
        <v>1794.82</v>
      </c>
      <c r="G293" s="43">
        <f t="shared" si="18"/>
        <v>1.1086449519474462E-2</v>
      </c>
      <c r="H293" s="48">
        <v>2027.1</v>
      </c>
      <c r="I293" s="43">
        <f t="shared" si="19"/>
        <v>1.4544253368300897E-2</v>
      </c>
      <c r="J293" s="3"/>
      <c r="K293" s="3"/>
      <c r="L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x14ac:dyDescent="0.2">
      <c r="A294" s="41">
        <v>41060</v>
      </c>
      <c r="B294" s="49">
        <v>2270.25</v>
      </c>
      <c r="C294" s="43">
        <f t="shared" si="16"/>
        <v>-6.0101348833743184E-2</v>
      </c>
      <c r="D294" s="50">
        <v>3467.1030000000001</v>
      </c>
      <c r="E294" s="43">
        <f t="shared" si="17"/>
        <v>-6.6189747191919168E-2</v>
      </c>
      <c r="F294" s="48">
        <v>1811.06</v>
      </c>
      <c r="G294" s="43">
        <f t="shared" si="18"/>
        <v>9.048261106963329E-3</v>
      </c>
      <c r="H294" s="48">
        <v>2061.85</v>
      </c>
      <c r="I294" s="43">
        <f t="shared" si="19"/>
        <v>1.7142716195550189E-2</v>
      </c>
      <c r="J294" s="3"/>
      <c r="K294" s="3"/>
      <c r="L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x14ac:dyDescent="0.2">
      <c r="A295" s="41">
        <v>41089</v>
      </c>
      <c r="B295" s="49">
        <v>2363.79</v>
      </c>
      <c r="C295" s="43">
        <f t="shared" si="16"/>
        <v>4.1202510736702891E-2</v>
      </c>
      <c r="D295" s="50">
        <v>3640.1109999999999</v>
      </c>
      <c r="E295" s="43">
        <f t="shared" si="17"/>
        <v>4.9899873179423793E-2</v>
      </c>
      <c r="F295" s="48">
        <v>1811.77</v>
      </c>
      <c r="G295" s="43">
        <f t="shared" si="18"/>
        <v>3.9203560345879573E-4</v>
      </c>
      <c r="H295" s="48">
        <v>2054.6799999999998</v>
      </c>
      <c r="I295" s="43">
        <f t="shared" si="19"/>
        <v>-3.4774595630138183E-3</v>
      </c>
      <c r="J295" s="3"/>
      <c r="K295" s="3"/>
      <c r="L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x14ac:dyDescent="0.2">
      <c r="A296" s="41">
        <v>41121</v>
      </c>
      <c r="B296" s="49">
        <v>2396.62</v>
      </c>
      <c r="C296" s="43">
        <f t="shared" si="16"/>
        <v>1.3888712618295163E-2</v>
      </c>
      <c r="D296" s="50">
        <v>3589.808</v>
      </c>
      <c r="E296" s="43">
        <f t="shared" si="17"/>
        <v>-1.3819084088369848E-2</v>
      </c>
      <c r="F296" s="48">
        <v>1836.76</v>
      </c>
      <c r="G296" s="43">
        <f t="shared" si="18"/>
        <v>1.3793141513547491E-2</v>
      </c>
      <c r="H296" s="48">
        <v>2075.36</v>
      </c>
      <c r="I296" s="43">
        <f t="shared" si="19"/>
        <v>1.0064827613059046E-2</v>
      </c>
      <c r="J296" s="3"/>
      <c r="K296" s="3"/>
      <c r="L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x14ac:dyDescent="0.2">
      <c r="A297" s="41">
        <v>41152</v>
      </c>
      <c r="B297" s="49">
        <v>2450.6</v>
      </c>
      <c r="C297" s="43">
        <f t="shared" si="16"/>
        <v>2.2523387103504211E-2</v>
      </c>
      <c r="D297" s="50">
        <v>3709.518</v>
      </c>
      <c r="E297" s="43">
        <f t="shared" si="17"/>
        <v>3.3347187370466713E-2</v>
      </c>
      <c r="F297" s="48">
        <v>1837.96</v>
      </c>
      <c r="G297" s="43">
        <f t="shared" si="18"/>
        <v>6.5332433197595741E-4</v>
      </c>
      <c r="H297" s="48">
        <v>2072.69</v>
      </c>
      <c r="I297" s="43">
        <f t="shared" si="19"/>
        <v>-1.2865237838255439E-3</v>
      </c>
      <c r="J297" s="3"/>
      <c r="K297" s="3"/>
      <c r="L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x14ac:dyDescent="0.2">
      <c r="A298" s="41">
        <v>41180</v>
      </c>
      <c r="B298" s="49">
        <v>2513.9299999999998</v>
      </c>
      <c r="C298" s="43">
        <f t="shared" si="16"/>
        <v>2.5842650779400955E-2</v>
      </c>
      <c r="D298" s="50">
        <v>3831.3319999999999</v>
      </c>
      <c r="E298" s="43">
        <f t="shared" si="17"/>
        <v>3.2838228578483841E-2</v>
      </c>
      <c r="F298" s="48">
        <v>1840.49</v>
      </c>
      <c r="G298" s="43">
        <f t="shared" si="18"/>
        <v>1.3765261485561009E-3</v>
      </c>
      <c r="H298" s="48">
        <v>2066.35</v>
      </c>
      <c r="I298" s="43">
        <f t="shared" si="19"/>
        <v>-3.0588269350457775E-3</v>
      </c>
      <c r="J298" s="3"/>
      <c r="K298" s="3"/>
      <c r="L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x14ac:dyDescent="0.2">
      <c r="A299" s="41">
        <v>41213</v>
      </c>
      <c r="B299" s="49">
        <v>2467.5100000000002</v>
      </c>
      <c r="C299" s="43">
        <f t="shared" si="16"/>
        <v>-1.8465112393741934E-2</v>
      </c>
      <c r="D299" s="50">
        <v>3748.212</v>
      </c>
      <c r="E299" s="43">
        <f t="shared" si="17"/>
        <v>-2.169480483549846E-2</v>
      </c>
      <c r="F299" s="48">
        <v>1844.11</v>
      </c>
      <c r="G299" s="43">
        <f t="shared" si="18"/>
        <v>1.9668675189759011E-3</v>
      </c>
      <c r="H299" s="48">
        <v>2062.85</v>
      </c>
      <c r="I299" s="43">
        <f t="shared" si="19"/>
        <v>-1.693807922181656E-3</v>
      </c>
      <c r="J299" s="3"/>
      <c r="K299" s="3"/>
      <c r="L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x14ac:dyDescent="0.2">
      <c r="A300" s="41">
        <v>41243</v>
      </c>
      <c r="B300" s="49">
        <v>2481.8200000000002</v>
      </c>
      <c r="C300" s="43">
        <f t="shared" si="16"/>
        <v>5.7993685942507867E-3</v>
      </c>
      <c r="D300" s="50">
        <v>3768.127</v>
      </c>
      <c r="E300" s="43">
        <f t="shared" si="17"/>
        <v>5.3132000004267876E-3</v>
      </c>
      <c r="F300" s="48">
        <v>1847.02</v>
      </c>
      <c r="G300" s="43">
        <f t="shared" si="18"/>
        <v>1.5779969741502864E-3</v>
      </c>
      <c r="H300" s="48">
        <v>2073.58</v>
      </c>
      <c r="I300" s="43">
        <f t="shared" si="19"/>
        <v>5.2015415565842549E-3</v>
      </c>
      <c r="J300" s="3"/>
      <c r="K300" s="3"/>
      <c r="L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x14ac:dyDescent="0.2">
      <c r="A301" s="41">
        <v>41274</v>
      </c>
      <c r="B301" s="49">
        <v>2504.44</v>
      </c>
      <c r="C301" s="43">
        <f t="shared" si="16"/>
        <v>9.1142790371581128E-3</v>
      </c>
      <c r="D301" s="50">
        <v>3902.3670000000002</v>
      </c>
      <c r="E301" s="43">
        <f t="shared" si="17"/>
        <v>3.5625126223187253E-2</v>
      </c>
      <c r="F301" s="48">
        <v>1844.39</v>
      </c>
      <c r="G301" s="43">
        <f t="shared" si="18"/>
        <v>-1.4239152797478338E-3</v>
      </c>
      <c r="H301" s="48">
        <v>2064.56</v>
      </c>
      <c r="I301" s="43">
        <f t="shared" si="19"/>
        <v>-4.3499647951851239E-3</v>
      </c>
      <c r="J301" s="3"/>
      <c r="K301" s="3"/>
      <c r="L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x14ac:dyDescent="0.2">
      <c r="A302" s="41">
        <v>41305</v>
      </c>
      <c r="B302" s="49">
        <v>2634.16</v>
      </c>
      <c r="C302" s="43">
        <f t="shared" si="16"/>
        <v>5.1796010285732441E-2</v>
      </c>
      <c r="D302" s="50">
        <v>4146.6270000000004</v>
      </c>
      <c r="E302" s="43">
        <f t="shared" si="17"/>
        <v>6.2592780228000189E-2</v>
      </c>
      <c r="F302" s="48">
        <v>1831.49</v>
      </c>
      <c r="G302" s="43">
        <f t="shared" si="18"/>
        <v>-6.9941823583949958E-3</v>
      </c>
      <c r="H302" s="48">
        <v>2047.89</v>
      </c>
      <c r="I302" s="43">
        <f t="shared" si="19"/>
        <v>-8.0743596698569231E-3</v>
      </c>
      <c r="J302" s="3"/>
      <c r="K302" s="3"/>
      <c r="L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x14ac:dyDescent="0.2">
      <c r="A303" s="41">
        <v>41333</v>
      </c>
      <c r="B303" s="49">
        <v>2669.92</v>
      </c>
      <c r="C303" s="43">
        <f t="shared" si="16"/>
        <v>1.3575485164151191E-2</v>
      </c>
      <c r="D303" s="50">
        <v>4192.3689999999997</v>
      </c>
      <c r="E303" s="43">
        <f t="shared" si="17"/>
        <v>1.1031134461816583E-2</v>
      </c>
      <c r="F303" s="48">
        <v>1840.67</v>
      </c>
      <c r="G303" s="43">
        <f t="shared" si="18"/>
        <v>5.0123123795380309E-3</v>
      </c>
      <c r="H303" s="48">
        <v>2058.71</v>
      </c>
      <c r="I303" s="43">
        <f t="shared" si="19"/>
        <v>5.2834869060349732E-3</v>
      </c>
      <c r="J303" s="3"/>
      <c r="K303" s="3"/>
      <c r="L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x14ac:dyDescent="0.2">
      <c r="A304" s="41">
        <v>41362</v>
      </c>
      <c r="B304" s="49">
        <v>2770.05</v>
      </c>
      <c r="C304" s="43">
        <f t="shared" si="16"/>
        <v>3.7502996344459749E-2</v>
      </c>
      <c r="D304" s="50">
        <v>4385.9470000000001</v>
      </c>
      <c r="E304" s="43">
        <f t="shared" si="17"/>
        <v>4.617389356709789E-2</v>
      </c>
      <c r="F304" s="48">
        <v>1842.14</v>
      </c>
      <c r="G304" s="43">
        <f t="shared" si="18"/>
        <v>7.9862224081450606E-4</v>
      </c>
      <c r="H304" s="48">
        <v>2060.73</v>
      </c>
      <c r="I304" s="43">
        <f t="shared" si="19"/>
        <v>9.8119696314680205E-4</v>
      </c>
      <c r="J304" s="3"/>
      <c r="K304" s="3"/>
      <c r="L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x14ac:dyDescent="0.2">
      <c r="A305" s="41">
        <v>41394</v>
      </c>
      <c r="B305" s="49">
        <v>2823.42</v>
      </c>
      <c r="C305" s="43">
        <f t="shared" si="16"/>
        <v>1.9266800238262771E-2</v>
      </c>
      <c r="D305" s="50">
        <v>4369.8310000000001</v>
      </c>
      <c r="E305" s="43">
        <f t="shared" si="17"/>
        <v>-3.6744630065068673E-3</v>
      </c>
      <c r="F305" s="48">
        <v>1860.78</v>
      </c>
      <c r="G305" s="43">
        <f t="shared" si="18"/>
        <v>1.0118666333720494E-2</v>
      </c>
      <c r="H305" s="48">
        <v>2079.0500000000002</v>
      </c>
      <c r="I305" s="43">
        <f t="shared" si="19"/>
        <v>8.8900535247218304E-3</v>
      </c>
      <c r="J305" s="3"/>
      <c r="K305" s="3"/>
      <c r="L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x14ac:dyDescent="0.2">
      <c r="A306" s="41">
        <v>41425</v>
      </c>
      <c r="B306" s="49">
        <v>2889.46</v>
      </c>
      <c r="C306" s="43">
        <f t="shared" si="16"/>
        <v>2.3390073031996694E-2</v>
      </c>
      <c r="D306" s="50">
        <v>4544.4849999999997</v>
      </c>
      <c r="E306" s="43">
        <f t="shared" si="17"/>
        <v>3.99681360675046E-2</v>
      </c>
      <c r="F306" s="48">
        <v>1827.58</v>
      </c>
      <c r="G306" s="43">
        <f t="shared" si="18"/>
        <v>-1.7841980244843625E-2</v>
      </c>
      <c r="H306" s="48">
        <v>2043.55</v>
      </c>
      <c r="I306" s="43">
        <f t="shared" si="19"/>
        <v>-1.707510641879717E-2</v>
      </c>
      <c r="J306" s="3"/>
      <c r="K306" s="3"/>
      <c r="L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x14ac:dyDescent="0.2">
      <c r="A307" s="41">
        <v>41453</v>
      </c>
      <c r="B307" s="49">
        <v>2850.66</v>
      </c>
      <c r="C307" s="43">
        <f t="shared" si="16"/>
        <v>-1.3428114595806839E-2</v>
      </c>
      <c r="D307" s="50">
        <v>4521.2349999999997</v>
      </c>
      <c r="E307" s="43">
        <f t="shared" si="17"/>
        <v>-5.116091262266198E-3</v>
      </c>
      <c r="F307" s="48">
        <v>1799.31</v>
      </c>
      <c r="G307" s="43">
        <f t="shared" si="18"/>
        <v>-1.546854310071244E-2</v>
      </c>
      <c r="H307" s="48">
        <v>2021.06</v>
      </c>
      <c r="I307" s="43">
        <f t="shared" si="19"/>
        <v>-1.1005358322527026E-2</v>
      </c>
      <c r="J307" s="3"/>
      <c r="K307" s="3"/>
      <c r="L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x14ac:dyDescent="0.2">
      <c r="A308" s="41">
        <v>41486</v>
      </c>
      <c r="B308" s="49">
        <v>2995.72</v>
      </c>
      <c r="C308" s="43">
        <f t="shared" si="16"/>
        <v>5.0886461380873271E-2</v>
      </c>
      <c r="D308" s="50">
        <v>4837.6469999999999</v>
      </c>
      <c r="E308" s="43">
        <f t="shared" si="17"/>
        <v>6.9983533260270736E-2</v>
      </c>
      <c r="F308" s="48">
        <v>1801.77</v>
      </c>
      <c r="G308" s="43">
        <f t="shared" si="18"/>
        <v>1.3671907564567487E-3</v>
      </c>
      <c r="H308" s="48">
        <v>2018.86</v>
      </c>
      <c r="I308" s="43">
        <f t="shared" si="19"/>
        <v>-1.0885376980396266E-3</v>
      </c>
      <c r="J308" s="3"/>
      <c r="K308" s="3"/>
      <c r="L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x14ac:dyDescent="0.2">
      <c r="A309" s="41">
        <v>41516</v>
      </c>
      <c r="B309" s="49">
        <v>2908.96</v>
      </c>
      <c r="C309" s="43">
        <f t="shared" si="16"/>
        <v>-2.8961318147223247E-2</v>
      </c>
      <c r="D309" s="50">
        <v>4683.9920000000002</v>
      </c>
      <c r="E309" s="43">
        <f t="shared" si="17"/>
        <v>-3.1762342312285252E-2</v>
      </c>
      <c r="F309" s="48">
        <v>1792.56</v>
      </c>
      <c r="G309" s="43">
        <f t="shared" si="18"/>
        <v>-5.1116402204499645E-3</v>
      </c>
      <c r="H309" s="48">
        <v>2009.05</v>
      </c>
      <c r="I309" s="43">
        <f t="shared" si="19"/>
        <v>-4.8591779519134848E-3</v>
      </c>
      <c r="J309" s="3"/>
      <c r="K309" s="3"/>
      <c r="L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x14ac:dyDescent="0.2">
      <c r="A310" s="41">
        <v>41547</v>
      </c>
      <c r="B310" s="49">
        <v>3000.18</v>
      </c>
      <c r="C310" s="43">
        <f t="shared" si="16"/>
        <v>3.135828612287539E-2</v>
      </c>
      <c r="D310" s="50">
        <v>4982.848</v>
      </c>
      <c r="E310" s="43">
        <f t="shared" si="17"/>
        <v>6.3803695651059922E-2</v>
      </c>
      <c r="F310" s="48">
        <v>1809.53</v>
      </c>
      <c r="G310" s="43">
        <f t="shared" si="18"/>
        <v>9.4669076627840187E-3</v>
      </c>
      <c r="H310" s="48">
        <v>2023.1</v>
      </c>
      <c r="I310" s="43">
        <f t="shared" si="19"/>
        <v>6.9933550683158874E-3</v>
      </c>
      <c r="J310" s="3"/>
      <c r="K310" s="3"/>
      <c r="L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x14ac:dyDescent="0.2">
      <c r="A311" s="41">
        <v>41578</v>
      </c>
      <c r="B311" s="49">
        <v>3138.09</v>
      </c>
      <c r="C311" s="43">
        <f t="shared" si="16"/>
        <v>4.5967241965482186E-2</v>
      </c>
      <c r="D311" s="50">
        <v>5108.1469999999999</v>
      </c>
      <c r="E311" s="43">
        <f t="shared" si="17"/>
        <v>2.5146061047818469E-2</v>
      </c>
      <c r="F311" s="48">
        <v>1824.16</v>
      </c>
      <c r="G311" s="43">
        <f t="shared" si="18"/>
        <v>8.0849723408842333E-3</v>
      </c>
      <c r="H311" s="48">
        <v>2032.86</v>
      </c>
      <c r="I311" s="43">
        <f t="shared" si="19"/>
        <v>4.8242795709554365E-3</v>
      </c>
      <c r="J311" s="3"/>
      <c r="K311" s="3"/>
      <c r="L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x14ac:dyDescent="0.2">
      <c r="A312" s="41">
        <v>41607</v>
      </c>
      <c r="B312" s="49">
        <v>3233.72</v>
      </c>
      <c r="C312" s="43">
        <f t="shared" si="16"/>
        <v>3.0473950715243836E-2</v>
      </c>
      <c r="D312" s="50">
        <v>5312.8</v>
      </c>
      <c r="E312" s="43">
        <f t="shared" si="17"/>
        <v>4.0064038877503094E-2</v>
      </c>
      <c r="F312" s="48">
        <v>1817.33</v>
      </c>
      <c r="G312" s="43">
        <f t="shared" si="18"/>
        <v>-3.7441891062188759E-3</v>
      </c>
      <c r="H312" s="48">
        <v>2026.21</v>
      </c>
      <c r="I312" s="43">
        <f t="shared" si="19"/>
        <v>-3.2712533081470374E-3</v>
      </c>
      <c r="J312" s="3"/>
      <c r="K312" s="3"/>
      <c r="L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x14ac:dyDescent="0.2">
      <c r="A313" s="41">
        <v>41639</v>
      </c>
      <c r="B313" s="49">
        <v>3315.59</v>
      </c>
      <c r="C313" s="43">
        <f t="shared" si="16"/>
        <v>2.5317590886038577E-2</v>
      </c>
      <c r="D313" s="50">
        <v>5417.357</v>
      </c>
      <c r="E313" s="43">
        <f t="shared" si="17"/>
        <v>1.9680206294232727E-2</v>
      </c>
      <c r="F313" s="48">
        <v>1807.06</v>
      </c>
      <c r="G313" s="43">
        <f t="shared" si="18"/>
        <v>-5.6511475626330743E-3</v>
      </c>
      <c r="H313" s="48">
        <v>2007.83</v>
      </c>
      <c r="I313" s="43">
        <f t="shared" si="19"/>
        <v>-9.0711229339506261E-3</v>
      </c>
      <c r="J313" s="3"/>
      <c r="K313" s="3"/>
      <c r="L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x14ac:dyDescent="0.2">
      <c r="A314" s="41">
        <v>41670</v>
      </c>
      <c r="B314" s="49">
        <v>3200.95</v>
      </c>
      <c r="C314" s="43">
        <f t="shared" si="16"/>
        <v>-3.4576048305128282E-2</v>
      </c>
      <c r="D314" s="50">
        <v>5267.4040000000005</v>
      </c>
      <c r="E314" s="43">
        <f t="shared" si="17"/>
        <v>-2.7680103046559323E-2</v>
      </c>
      <c r="F314" s="48">
        <v>1833.76</v>
      </c>
      <c r="G314" s="43">
        <f t="shared" si="18"/>
        <v>1.4775381005611266E-2</v>
      </c>
      <c r="H314" s="48">
        <v>2035.07</v>
      </c>
      <c r="I314" s="43">
        <f t="shared" si="19"/>
        <v>1.3566885642708693E-2</v>
      </c>
      <c r="J314" s="3"/>
      <c r="K314" s="3"/>
      <c r="L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x14ac:dyDescent="0.2">
      <c r="A315" s="41">
        <v>41698</v>
      </c>
      <c r="B315" s="49">
        <v>3347.38</v>
      </c>
      <c r="C315" s="43">
        <f t="shared" si="16"/>
        <v>4.5745794217341818E-2</v>
      </c>
      <c r="D315" s="50">
        <v>5515.558</v>
      </c>
      <c r="E315" s="43">
        <f t="shared" si="17"/>
        <v>4.7111252525912084E-2</v>
      </c>
      <c r="F315" s="48">
        <v>1843.51</v>
      </c>
      <c r="G315" s="43">
        <f t="shared" si="18"/>
        <v>5.3169444202076921E-3</v>
      </c>
      <c r="H315" s="48">
        <v>2040.61</v>
      </c>
      <c r="I315" s="43">
        <f t="shared" si="19"/>
        <v>2.7222650817908534E-3</v>
      </c>
      <c r="J315" s="3"/>
      <c r="K315" s="3"/>
      <c r="L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x14ac:dyDescent="0.2">
      <c r="A316" s="41">
        <v>41729</v>
      </c>
      <c r="B316" s="49">
        <v>3375.51</v>
      </c>
      <c r="C316" s="43">
        <f t="shared" si="16"/>
        <v>8.4035872831886849E-3</v>
      </c>
      <c r="D316" s="50">
        <v>5477.9629999999997</v>
      </c>
      <c r="E316" s="43">
        <f t="shared" si="17"/>
        <v>-6.8161734497217408E-3</v>
      </c>
      <c r="F316" s="48">
        <v>1840.37</v>
      </c>
      <c r="G316" s="43">
        <f t="shared" si="18"/>
        <v>-1.7032725615809818E-3</v>
      </c>
      <c r="H316" s="48">
        <v>2034.78</v>
      </c>
      <c r="I316" s="43">
        <f t="shared" si="19"/>
        <v>-2.856988841571817E-3</v>
      </c>
      <c r="J316" s="3"/>
      <c r="K316" s="3"/>
      <c r="L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x14ac:dyDescent="0.2">
      <c r="A317" s="41">
        <v>41759</v>
      </c>
      <c r="B317" s="49">
        <v>3400.46</v>
      </c>
      <c r="C317" s="43">
        <f t="shared" si="16"/>
        <v>7.3914756584929631E-3</v>
      </c>
      <c r="D317" s="50">
        <v>5265.5230000000001</v>
      </c>
      <c r="E317" s="43">
        <f t="shared" si="17"/>
        <v>-3.8780838789893135E-2</v>
      </c>
      <c r="F317" s="48">
        <v>1855.9</v>
      </c>
      <c r="G317" s="43">
        <f t="shared" si="18"/>
        <v>8.4385205148964637E-3</v>
      </c>
      <c r="H317" s="48">
        <v>2046.01</v>
      </c>
      <c r="I317" s="43">
        <f t="shared" si="19"/>
        <v>5.5190241696891906E-3</v>
      </c>
      <c r="J317" s="3"/>
      <c r="K317" s="3"/>
      <c r="L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x14ac:dyDescent="0.2">
      <c r="A318" s="41">
        <v>41789</v>
      </c>
      <c r="B318" s="49">
        <v>3480.29</v>
      </c>
      <c r="C318" s="43">
        <f t="shared" si="16"/>
        <v>2.3476235568129056E-2</v>
      </c>
      <c r="D318" s="50">
        <v>5307.7150000000001</v>
      </c>
      <c r="E318" s="43">
        <f t="shared" si="17"/>
        <v>8.0128792524503112E-3</v>
      </c>
      <c r="F318" s="48">
        <v>1877.03</v>
      </c>
      <c r="G318" s="43">
        <f t="shared" si="18"/>
        <v>1.1385311708604906E-2</v>
      </c>
      <c r="H318" s="48">
        <v>2065.2800000000002</v>
      </c>
      <c r="I318" s="43">
        <f t="shared" si="19"/>
        <v>9.4183312887035076E-3</v>
      </c>
      <c r="J318" s="3"/>
      <c r="K318" s="3"/>
      <c r="L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x14ac:dyDescent="0.2">
      <c r="A319" s="41">
        <v>41820</v>
      </c>
      <c r="B319" s="49">
        <v>3552.18</v>
      </c>
      <c r="C319" s="43">
        <f t="shared" si="16"/>
        <v>2.0656324616626698E-2</v>
      </c>
      <c r="D319" s="50">
        <v>5590.1229999999996</v>
      </c>
      <c r="E319" s="43">
        <f t="shared" si="17"/>
        <v>5.3207076868294401E-2</v>
      </c>
      <c r="F319" s="48">
        <v>1878</v>
      </c>
      <c r="G319" s="43">
        <f t="shared" si="18"/>
        <v>5.1677383952308809E-4</v>
      </c>
      <c r="H319" s="48">
        <v>2062.34</v>
      </c>
      <c r="I319" s="43">
        <f t="shared" si="19"/>
        <v>-1.4235357917570246E-3</v>
      </c>
      <c r="J319" s="3"/>
      <c r="K319" s="3"/>
      <c r="L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x14ac:dyDescent="0.2">
      <c r="A320" s="41">
        <v>41851</v>
      </c>
      <c r="B320" s="49">
        <v>3503.19</v>
      </c>
      <c r="C320" s="43">
        <f t="shared" si="16"/>
        <v>-1.3791530834586063E-2</v>
      </c>
      <c r="D320" s="50">
        <v>5251.7579999999998</v>
      </c>
      <c r="E320" s="43">
        <f t="shared" si="17"/>
        <v>-6.0529079592703039E-2</v>
      </c>
      <c r="F320" s="48">
        <v>1873.29</v>
      </c>
      <c r="G320" s="43">
        <f t="shared" si="18"/>
        <v>-2.5079872204473164E-3</v>
      </c>
      <c r="H320" s="48">
        <v>2058.98</v>
      </c>
      <c r="I320" s="43">
        <f t="shared" si="19"/>
        <v>-1.6292172968570551E-3</v>
      </c>
      <c r="J320" s="3"/>
      <c r="K320" s="3"/>
      <c r="L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x14ac:dyDescent="0.2">
      <c r="A321" s="41">
        <v>41880</v>
      </c>
      <c r="B321" s="49">
        <v>3643.34</v>
      </c>
      <c r="C321" s="43">
        <f t="shared" si="16"/>
        <v>4.0006394172168891E-2</v>
      </c>
      <c r="D321" s="50">
        <v>5512.17</v>
      </c>
      <c r="E321" s="43">
        <f t="shared" si="17"/>
        <v>4.958568159462029E-2</v>
      </c>
      <c r="F321" s="48">
        <v>1893.97</v>
      </c>
      <c r="G321" s="43">
        <f t="shared" si="18"/>
        <v>1.1039401267289195E-2</v>
      </c>
      <c r="H321" s="48">
        <v>2080.6999999999998</v>
      </c>
      <c r="I321" s="43">
        <f t="shared" si="19"/>
        <v>1.0548912568359103E-2</v>
      </c>
      <c r="J321" s="3"/>
      <c r="K321" s="3"/>
      <c r="L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x14ac:dyDescent="0.2">
      <c r="A322" s="41">
        <v>41912</v>
      </c>
      <c r="B322" s="49">
        <v>3592.25</v>
      </c>
      <c r="C322" s="43">
        <f t="shared" si="16"/>
        <v>-1.4022847167708741E-2</v>
      </c>
      <c r="D322" s="50">
        <v>5178.7139999999999</v>
      </c>
      <c r="E322" s="43">
        <f t="shared" si="17"/>
        <v>-6.0494505793544096E-2</v>
      </c>
      <c r="F322" s="48">
        <v>1881.11</v>
      </c>
      <c r="G322" s="43">
        <f t="shared" si="18"/>
        <v>-6.7899702740804591E-3</v>
      </c>
      <c r="H322" s="48">
        <v>2069.31</v>
      </c>
      <c r="I322" s="43">
        <f t="shared" si="19"/>
        <v>-5.4741192867784338E-3</v>
      </c>
      <c r="J322" s="3"/>
      <c r="K322" s="3"/>
      <c r="L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x14ac:dyDescent="0.2">
      <c r="A323" s="41">
        <v>41943</v>
      </c>
      <c r="B323" s="49">
        <v>3679.99</v>
      </c>
      <c r="C323" s="43">
        <f t="shared" si="16"/>
        <v>2.4424803396200012E-2</v>
      </c>
      <c r="D323" s="50">
        <v>5520.0910000000003</v>
      </c>
      <c r="E323" s="43">
        <f t="shared" si="17"/>
        <v>6.591926103662038E-2</v>
      </c>
      <c r="F323" s="48">
        <v>1899.6</v>
      </c>
      <c r="G323" s="43">
        <f t="shared" si="18"/>
        <v>9.8293029115787967E-3</v>
      </c>
      <c r="H323" s="48">
        <v>2089.4699999999998</v>
      </c>
      <c r="I323" s="43">
        <f t="shared" si="19"/>
        <v>9.7423778940806116E-3</v>
      </c>
      <c r="J323" s="3"/>
      <c r="K323" s="3"/>
      <c r="L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x14ac:dyDescent="0.2">
      <c r="A324" s="41">
        <v>41971</v>
      </c>
      <c r="B324" s="49">
        <v>3778.96</v>
      </c>
      <c r="C324" s="43">
        <f t="shared" ref="C324:C362" si="20">B324/B323-1</f>
        <v>2.6894094820909986E-2</v>
      </c>
      <c r="D324" s="50">
        <v>5525.0389999999998</v>
      </c>
      <c r="E324" s="43">
        <f t="shared" ref="E324:E362" si="21">D324/D323-1</f>
        <v>8.9636203461118669E-4</v>
      </c>
      <c r="F324" s="48">
        <v>1913.08</v>
      </c>
      <c r="G324" s="43">
        <f t="shared" ref="G324:G362" si="22">F324/F323-1</f>
        <v>7.0962307854285367E-3</v>
      </c>
      <c r="H324" s="48">
        <v>2106.3200000000002</v>
      </c>
      <c r="I324" s="43">
        <f t="shared" ref="I324:I362" si="23">H324/H323-1</f>
        <v>8.0642459571089731E-3</v>
      </c>
      <c r="J324" s="3"/>
      <c r="K324" s="3"/>
      <c r="L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x14ac:dyDescent="0.2">
      <c r="A325" s="41">
        <v>42004</v>
      </c>
      <c r="B325" s="49">
        <v>3769.44</v>
      </c>
      <c r="C325" s="43">
        <f t="shared" si="20"/>
        <v>-2.5192116349471716E-3</v>
      </c>
      <c r="D325" s="50">
        <v>5682.5020000000004</v>
      </c>
      <c r="E325" s="43">
        <f t="shared" si="21"/>
        <v>2.8499889322048277E-2</v>
      </c>
      <c r="F325" s="48">
        <v>1914.87</v>
      </c>
      <c r="G325" s="43">
        <f t="shared" si="22"/>
        <v>9.3566395550626069E-4</v>
      </c>
      <c r="H325" s="48">
        <v>2109.3200000000002</v>
      </c>
      <c r="I325" s="43">
        <f t="shared" si="23"/>
        <v>1.4242850089254411E-3</v>
      </c>
      <c r="J325" s="3"/>
      <c r="K325" s="3"/>
      <c r="L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x14ac:dyDescent="0.2">
      <c r="A326" s="41">
        <v>42034</v>
      </c>
      <c r="B326" s="49">
        <v>3656.28</v>
      </c>
      <c r="C326" s="43">
        <f t="shared" si="20"/>
        <v>-3.0020374379218118E-2</v>
      </c>
      <c r="D326" s="50">
        <v>5499.7190000000001</v>
      </c>
      <c r="E326" s="43">
        <f t="shared" si="21"/>
        <v>-3.2165936765178538E-2</v>
      </c>
      <c r="F326" s="48">
        <v>1955.02</v>
      </c>
      <c r="G326" s="43">
        <f t="shared" si="22"/>
        <v>2.0967480821152407E-2</v>
      </c>
      <c r="H326" s="48">
        <v>2163.88</v>
      </c>
      <c r="I326" s="43">
        <f t="shared" si="23"/>
        <v>2.5866155917546818E-2</v>
      </c>
      <c r="J326" s="3"/>
      <c r="K326" s="3"/>
      <c r="L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x14ac:dyDescent="0.2">
      <c r="A327" s="41">
        <v>42062</v>
      </c>
      <c r="B327" s="49">
        <v>3866.42</v>
      </c>
      <c r="C327" s="43">
        <f t="shared" si="20"/>
        <v>5.747371645497612E-2</v>
      </c>
      <c r="D327" s="50">
        <v>5826.2169999999996</v>
      </c>
      <c r="E327" s="43">
        <f t="shared" si="21"/>
        <v>5.9366305805805597E-2</v>
      </c>
      <c r="F327" s="48">
        <v>1936.64</v>
      </c>
      <c r="G327" s="43">
        <f t="shared" si="22"/>
        <v>-9.4014383484567476E-3</v>
      </c>
      <c r="H327" s="48">
        <v>2130.46</v>
      </c>
      <c r="I327" s="43">
        <f t="shared" si="23"/>
        <v>-1.5444479361147567E-2</v>
      </c>
      <c r="J327" s="3"/>
      <c r="K327" s="3"/>
      <c r="L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x14ac:dyDescent="0.2">
      <c r="A328" s="41">
        <v>42094</v>
      </c>
      <c r="B328" s="49">
        <v>3805.27</v>
      </c>
      <c r="C328" s="43">
        <f t="shared" si="20"/>
        <v>-1.581566410271007E-2</v>
      </c>
      <c r="D328" s="50">
        <v>5927.7169999999996</v>
      </c>
      <c r="E328" s="43">
        <f t="shared" si="21"/>
        <v>1.7421252933078168E-2</v>
      </c>
      <c r="F328" s="48">
        <v>1945.63</v>
      </c>
      <c r="G328" s="43">
        <f t="shared" si="22"/>
        <v>4.6420604758756756E-3</v>
      </c>
      <c r="H328" s="48">
        <v>2143.9</v>
      </c>
      <c r="I328" s="43">
        <f t="shared" si="23"/>
        <v>6.3084967565689709E-3</v>
      </c>
      <c r="J328" s="3"/>
      <c r="K328" s="3"/>
      <c r="L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x14ac:dyDescent="0.2">
      <c r="A329" s="41">
        <v>42124</v>
      </c>
      <c r="B329" s="49">
        <v>3841.78</v>
      </c>
      <c r="C329" s="43">
        <f t="shared" si="20"/>
        <v>9.5945885574479917E-3</v>
      </c>
      <c r="D329" s="50">
        <v>5776.5439999999999</v>
      </c>
      <c r="E329" s="43">
        <f t="shared" si="21"/>
        <v>-2.5502735707524482E-2</v>
      </c>
      <c r="F329" s="48">
        <v>1938.65</v>
      </c>
      <c r="G329" s="43">
        <f t="shared" si="22"/>
        <v>-3.5875269193011983E-3</v>
      </c>
      <c r="H329" s="48">
        <v>2132.62</v>
      </c>
      <c r="I329" s="43">
        <f t="shared" si="23"/>
        <v>-5.2614394328094338E-3</v>
      </c>
      <c r="J329" s="3"/>
      <c r="K329" s="3"/>
      <c r="L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x14ac:dyDescent="0.2">
      <c r="A330" s="41">
        <v>42153</v>
      </c>
      <c r="B330" s="49">
        <v>3891.18</v>
      </c>
      <c r="C330" s="43">
        <f t="shared" si="20"/>
        <v>1.2858622825877575E-2</v>
      </c>
      <c r="D330" s="50">
        <v>5908.4229999999998</v>
      </c>
      <c r="E330" s="43">
        <f t="shared" si="21"/>
        <v>2.2830086640039493E-2</v>
      </c>
      <c r="F330" s="48">
        <v>1933.98</v>
      </c>
      <c r="G330" s="43">
        <f t="shared" si="22"/>
        <v>-2.4088927862172538E-3</v>
      </c>
      <c r="H330" s="48">
        <v>2128.7800000000002</v>
      </c>
      <c r="I330" s="43">
        <f t="shared" si="23"/>
        <v>-1.8006020763191577E-3</v>
      </c>
      <c r="J330" s="3"/>
      <c r="K330" s="3"/>
      <c r="L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x14ac:dyDescent="0.2">
      <c r="A331" s="41">
        <v>42185</v>
      </c>
      <c r="B331" s="49">
        <v>3815.85</v>
      </c>
      <c r="C331" s="43">
        <f t="shared" si="20"/>
        <v>-1.9359166114135018E-2</v>
      </c>
      <c r="D331" s="50">
        <v>5952.6679999999997</v>
      </c>
      <c r="E331" s="43">
        <f t="shared" si="21"/>
        <v>7.4884618112143198E-3</v>
      </c>
      <c r="F331" s="48">
        <v>1912.89</v>
      </c>
      <c r="G331" s="43">
        <f t="shared" si="22"/>
        <v>-1.0904973164148513E-2</v>
      </c>
      <c r="H331" s="48">
        <v>2109.9899999999998</v>
      </c>
      <c r="I331" s="43">
        <f t="shared" si="23"/>
        <v>-8.8266518851174425E-3</v>
      </c>
      <c r="J331" s="3"/>
      <c r="K331" s="3"/>
      <c r="L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x14ac:dyDescent="0.2">
      <c r="A332" s="41">
        <v>42216</v>
      </c>
      <c r="B332" s="49">
        <v>3895.8</v>
      </c>
      <c r="C332" s="43">
        <f t="shared" si="20"/>
        <v>2.0952081449742588E-2</v>
      </c>
      <c r="D332" s="50">
        <v>5883.4870000000001</v>
      </c>
      <c r="E332" s="43">
        <f t="shared" si="21"/>
        <v>-1.1621847548023756E-2</v>
      </c>
      <c r="F332" s="48">
        <v>1926.19</v>
      </c>
      <c r="G332" s="43">
        <f t="shared" si="22"/>
        <v>6.9528305339041641E-3</v>
      </c>
      <c r="H332" s="48">
        <v>2127.58</v>
      </c>
      <c r="I332" s="43">
        <f t="shared" si="23"/>
        <v>8.3365324006274832E-3</v>
      </c>
      <c r="J332" s="3"/>
      <c r="K332" s="3"/>
      <c r="L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x14ac:dyDescent="0.2">
      <c r="A333" s="41">
        <v>42247</v>
      </c>
      <c r="B333" s="49">
        <v>3660.75</v>
      </c>
      <c r="C333" s="43">
        <f t="shared" si="20"/>
        <v>-6.0334206068073382E-2</v>
      </c>
      <c r="D333" s="50">
        <v>5513.7629999999999</v>
      </c>
      <c r="E333" s="43">
        <f t="shared" si="21"/>
        <v>-6.2840964890378825E-2</v>
      </c>
      <c r="F333" s="48">
        <v>1923.42</v>
      </c>
      <c r="G333" s="43">
        <f t="shared" si="22"/>
        <v>-1.4380720489671761E-3</v>
      </c>
      <c r="H333" s="48">
        <v>2128.5100000000002</v>
      </c>
      <c r="I333" s="43">
        <f t="shared" si="23"/>
        <v>4.3711634815157829E-4</v>
      </c>
      <c r="J333" s="3"/>
      <c r="K333" s="3"/>
      <c r="L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x14ac:dyDescent="0.2">
      <c r="A334" s="41">
        <v>42277</v>
      </c>
      <c r="B334" s="49">
        <v>3570.17</v>
      </c>
      <c r="C334" s="43">
        <f t="shared" si="20"/>
        <v>-2.4743563477429453E-2</v>
      </c>
      <c r="D334" s="50">
        <v>5243.241</v>
      </c>
      <c r="E334" s="43">
        <f t="shared" si="21"/>
        <v>-4.9063044603114059E-2</v>
      </c>
      <c r="F334" s="48">
        <v>1936.43</v>
      </c>
      <c r="G334" s="43">
        <f t="shared" si="22"/>
        <v>6.7639933035945621E-3</v>
      </c>
      <c r="H334" s="48">
        <v>2147.19</v>
      </c>
      <c r="I334" s="43">
        <f t="shared" si="23"/>
        <v>8.7760921959492144E-3</v>
      </c>
      <c r="J334" s="3"/>
      <c r="K334" s="3"/>
      <c r="L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x14ac:dyDescent="0.2">
      <c r="A335" s="41">
        <v>42307</v>
      </c>
      <c r="B335" s="49">
        <v>3871.33</v>
      </c>
      <c r="C335" s="43">
        <f t="shared" si="20"/>
        <v>8.4354526535150853E-2</v>
      </c>
      <c r="D335" s="50">
        <v>5538.6469999999999</v>
      </c>
      <c r="E335" s="43">
        <f t="shared" si="21"/>
        <v>5.6340343692002692E-2</v>
      </c>
      <c r="F335" s="48">
        <v>1936.76</v>
      </c>
      <c r="G335" s="43">
        <f t="shared" si="22"/>
        <v>1.7041669463901954E-4</v>
      </c>
      <c r="H335" s="48">
        <v>2139.33</v>
      </c>
      <c r="I335" s="43">
        <f t="shared" si="23"/>
        <v>-3.6605982702975215E-3</v>
      </c>
      <c r="J335" s="3"/>
      <c r="K335" s="3"/>
      <c r="L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x14ac:dyDescent="0.2">
      <c r="A336" s="41">
        <v>42338</v>
      </c>
      <c r="B336" s="49">
        <v>3882.84</v>
      </c>
      <c r="C336" s="43">
        <f t="shared" si="20"/>
        <v>2.9731384304618746E-3</v>
      </c>
      <c r="D336" s="50">
        <v>5718.8119999999999</v>
      </c>
      <c r="E336" s="43">
        <f t="shared" si="21"/>
        <v>3.2528702406923626E-2</v>
      </c>
      <c r="F336" s="48">
        <v>1931.64</v>
      </c>
      <c r="G336" s="43">
        <f t="shared" si="22"/>
        <v>-2.6435903261116112E-3</v>
      </c>
      <c r="H336" s="48">
        <v>2130.58</v>
      </c>
      <c r="I336" s="43">
        <f t="shared" si="23"/>
        <v>-4.0900655812801112E-3</v>
      </c>
      <c r="J336" s="3"/>
      <c r="K336" s="3"/>
      <c r="L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x14ac:dyDescent="0.2">
      <c r="A337" s="41">
        <v>42369</v>
      </c>
      <c r="B337" s="49">
        <v>3821.6</v>
      </c>
      <c r="C337" s="43">
        <f t="shared" si="20"/>
        <v>-1.5771960729775159E-2</v>
      </c>
      <c r="D337" s="50">
        <v>5431.6710000000003</v>
      </c>
      <c r="E337" s="43">
        <f t="shared" si="21"/>
        <v>-5.0209903735251249E-2</v>
      </c>
      <c r="F337" s="48">
        <v>1925.4</v>
      </c>
      <c r="G337" s="43">
        <f t="shared" si="22"/>
        <v>-3.2304156053922783E-3</v>
      </c>
      <c r="H337" s="48">
        <v>2127.09</v>
      </c>
      <c r="I337" s="43">
        <f t="shared" si="23"/>
        <v>-1.6380516103595699E-3</v>
      </c>
      <c r="J337" s="3"/>
      <c r="K337" s="3"/>
      <c r="L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x14ac:dyDescent="0.2">
      <c r="A338" s="41">
        <v>42398</v>
      </c>
      <c r="B338" s="49">
        <v>3631.96</v>
      </c>
      <c r="C338" s="43">
        <f t="shared" si="20"/>
        <v>-4.9623194473518928E-2</v>
      </c>
      <c r="D338" s="50">
        <v>4954.04</v>
      </c>
      <c r="E338" s="43">
        <f t="shared" si="21"/>
        <v>-8.7934449638058076E-2</v>
      </c>
      <c r="F338" s="48">
        <v>1951.89</v>
      </c>
      <c r="G338" s="43">
        <f t="shared" si="22"/>
        <v>1.3758180118417007E-2</v>
      </c>
      <c r="H338" s="48">
        <v>2172.39</v>
      </c>
      <c r="I338" s="43">
        <f t="shared" si="23"/>
        <v>2.1296701126891637E-2</v>
      </c>
      <c r="J338" s="3"/>
      <c r="K338" s="3"/>
      <c r="L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x14ac:dyDescent="0.2">
      <c r="A339" s="41">
        <v>42429</v>
      </c>
      <c r="B339" s="49">
        <v>3627.06</v>
      </c>
      <c r="C339" s="43">
        <f t="shared" si="20"/>
        <v>-1.3491338010330756E-3</v>
      </c>
      <c r="D339" s="50">
        <v>4953.8190000000004</v>
      </c>
      <c r="E339" s="43">
        <f t="shared" si="21"/>
        <v>-4.4610055631277845E-5</v>
      </c>
      <c r="F339" s="48">
        <v>1965.74</v>
      </c>
      <c r="G339" s="43">
        <f t="shared" si="22"/>
        <v>7.0956867446423377E-3</v>
      </c>
      <c r="H339" s="48">
        <v>2191.75</v>
      </c>
      <c r="I339" s="43">
        <f t="shared" si="23"/>
        <v>8.9118436376525167E-3</v>
      </c>
      <c r="J339" s="3"/>
      <c r="K339" s="3"/>
      <c r="L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x14ac:dyDescent="0.2">
      <c r="A340" s="41">
        <v>42460</v>
      </c>
      <c r="B340" s="49">
        <v>3873.11</v>
      </c>
      <c r="C340" s="43">
        <f t="shared" si="20"/>
        <v>6.7837311762143582E-2</v>
      </c>
      <c r="D340" s="50">
        <v>5349.1909999999998</v>
      </c>
      <c r="E340" s="43">
        <f t="shared" si="21"/>
        <v>7.9811555488805475E-2</v>
      </c>
      <c r="F340" s="48">
        <v>1983.77</v>
      </c>
      <c r="G340" s="43">
        <f t="shared" si="22"/>
        <v>9.1721183879862611E-3</v>
      </c>
      <c r="H340" s="48">
        <v>2195.2199999999998</v>
      </c>
      <c r="I340" s="43">
        <f t="shared" si="23"/>
        <v>1.5832097638872611E-3</v>
      </c>
      <c r="J340" s="3"/>
      <c r="K340" s="3"/>
      <c r="L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x14ac:dyDescent="0.2">
      <c r="A341" s="41">
        <v>42489</v>
      </c>
      <c r="B341" s="49">
        <v>3888.13</v>
      </c>
      <c r="C341" s="43">
        <f t="shared" si="20"/>
        <v>3.8780205054853578E-3</v>
      </c>
      <c r="D341" s="50">
        <v>5433.1450000000004</v>
      </c>
      <c r="E341" s="43">
        <f t="shared" si="21"/>
        <v>1.5694709723395706E-2</v>
      </c>
      <c r="F341" s="48">
        <v>1991.39</v>
      </c>
      <c r="G341" s="43">
        <f t="shared" si="22"/>
        <v>3.8411711035049034E-3</v>
      </c>
      <c r="H341" s="48">
        <v>2192.91</v>
      </c>
      <c r="I341" s="43">
        <f t="shared" si="23"/>
        <v>-1.0522863312104613E-3</v>
      </c>
      <c r="J341" s="3"/>
      <c r="K341" s="3"/>
      <c r="L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x14ac:dyDescent="0.2">
      <c r="A342" s="41">
        <v>42521</v>
      </c>
      <c r="B342" s="49">
        <v>3957.95</v>
      </c>
      <c r="C342" s="43">
        <f t="shared" si="20"/>
        <v>1.7957218508640294E-2</v>
      </c>
      <c r="D342" s="50">
        <v>5555.5249999999996</v>
      </c>
      <c r="E342" s="43">
        <f t="shared" si="21"/>
        <v>2.2524707144756739E-2</v>
      </c>
      <c r="F342" s="48">
        <v>1991.9</v>
      </c>
      <c r="G342" s="43">
        <f t="shared" si="22"/>
        <v>2.5610252135432887E-4</v>
      </c>
      <c r="H342" s="48">
        <v>2192.85</v>
      </c>
      <c r="I342" s="43">
        <f t="shared" si="23"/>
        <v>-2.736090400423663E-5</v>
      </c>
      <c r="J342" s="3"/>
      <c r="K342" s="3"/>
      <c r="L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x14ac:dyDescent="0.2">
      <c r="A343" s="41">
        <v>42551</v>
      </c>
      <c r="B343" s="49">
        <v>3968.21</v>
      </c>
      <c r="C343" s="43">
        <f t="shared" si="20"/>
        <v>2.5922510390481435E-3</v>
      </c>
      <c r="D343" s="50">
        <v>5552.0230000000001</v>
      </c>
      <c r="E343" s="43">
        <f t="shared" si="21"/>
        <v>-6.3036346699896217E-4</v>
      </c>
      <c r="F343" s="48">
        <v>2027.69</v>
      </c>
      <c r="G343" s="43">
        <f t="shared" si="22"/>
        <v>1.7967769466338712E-2</v>
      </c>
      <c r="H343" s="48">
        <v>2241.2600000000002</v>
      </c>
      <c r="I343" s="43">
        <f t="shared" si="23"/>
        <v>2.2076293408122005E-2</v>
      </c>
      <c r="J343" s="3"/>
      <c r="K343" s="3"/>
      <c r="L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x14ac:dyDescent="0.2">
      <c r="A344" s="41">
        <v>42580</v>
      </c>
      <c r="B344" s="49">
        <v>4114.51</v>
      </c>
      <c r="C344" s="43">
        <f t="shared" si="20"/>
        <v>3.6868008497534133E-2</v>
      </c>
      <c r="D344" s="50">
        <v>5883.5159999999996</v>
      </c>
      <c r="E344" s="43">
        <f t="shared" si="21"/>
        <v>5.970670510550824E-2</v>
      </c>
      <c r="F344" s="48">
        <v>2040.51</v>
      </c>
      <c r="G344" s="43">
        <f t="shared" si="22"/>
        <v>6.322465465628424E-3</v>
      </c>
      <c r="H344" s="48">
        <v>2250.34</v>
      </c>
      <c r="I344" s="43">
        <f t="shared" si="23"/>
        <v>4.0512925764970564E-3</v>
      </c>
      <c r="J344" s="3"/>
      <c r="K344" s="3"/>
      <c r="L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x14ac:dyDescent="0.2">
      <c r="A345" s="41">
        <v>42613</v>
      </c>
      <c r="B345" s="49">
        <v>4120.29</v>
      </c>
      <c r="C345" s="43">
        <f t="shared" si="20"/>
        <v>1.4047845308431395E-3</v>
      </c>
      <c r="D345" s="50">
        <v>5987.5609999999997</v>
      </c>
      <c r="E345" s="43">
        <f t="shared" si="21"/>
        <v>1.7684153489172072E-2</v>
      </c>
      <c r="F345" s="48">
        <v>2038.18</v>
      </c>
      <c r="G345" s="43">
        <f t="shared" si="22"/>
        <v>-1.1418713948962989E-3</v>
      </c>
      <c r="H345" s="48">
        <v>2237.9699999999998</v>
      </c>
      <c r="I345" s="43">
        <f t="shared" si="23"/>
        <v>-5.4969471279896487E-3</v>
      </c>
      <c r="J345" s="3"/>
      <c r="K345" s="3"/>
      <c r="L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x14ac:dyDescent="0.2">
      <c r="A346" s="41">
        <v>42643</v>
      </c>
      <c r="B346" s="49">
        <v>4121.0600000000004</v>
      </c>
      <c r="C346" s="43">
        <f t="shared" si="20"/>
        <v>1.8688004970535133E-4</v>
      </c>
      <c r="D346" s="50">
        <v>6054.2520000000004</v>
      </c>
      <c r="E346" s="43">
        <f t="shared" si="21"/>
        <v>1.113825813215108E-2</v>
      </c>
      <c r="F346" s="48">
        <v>2036.98</v>
      </c>
      <c r="G346" s="43">
        <f t="shared" si="22"/>
        <v>-5.8876056089263162E-4</v>
      </c>
      <c r="H346" s="48">
        <v>2235.0100000000002</v>
      </c>
      <c r="I346" s="43">
        <f t="shared" si="23"/>
        <v>-1.3226272023304508E-3</v>
      </c>
      <c r="J346" s="3"/>
      <c r="K346" s="3"/>
      <c r="L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x14ac:dyDescent="0.2">
      <c r="A347" s="41">
        <v>42674</v>
      </c>
      <c r="B347" s="49">
        <v>4045.89</v>
      </c>
      <c r="C347" s="43">
        <f t="shared" si="20"/>
        <v>-1.8240452699062937E-2</v>
      </c>
      <c r="D347" s="50">
        <v>5766.4340000000002</v>
      </c>
      <c r="E347" s="43">
        <f t="shared" si="21"/>
        <v>-4.7539811689371381E-2</v>
      </c>
      <c r="F347" s="48">
        <v>2021.4</v>
      </c>
      <c r="G347" s="43">
        <f t="shared" si="22"/>
        <v>-7.6485777965419333E-3</v>
      </c>
      <c r="H347" s="48">
        <v>2210.41</v>
      </c>
      <c r="I347" s="43">
        <f t="shared" si="23"/>
        <v>-1.1006662162585612E-2</v>
      </c>
      <c r="J347" s="3"/>
      <c r="K347" s="3"/>
      <c r="L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x14ac:dyDescent="0.2">
      <c r="A348" s="41">
        <v>42704</v>
      </c>
      <c r="B348" s="49">
        <v>4195.7299999999996</v>
      </c>
      <c r="C348" s="43">
        <f t="shared" si="20"/>
        <v>3.7035114647209877E-2</v>
      </c>
      <c r="D348" s="50">
        <v>6409.4610000000002</v>
      </c>
      <c r="E348" s="43">
        <f t="shared" si="21"/>
        <v>0.11151207141189867</v>
      </c>
      <c r="F348" s="48">
        <v>1973.59</v>
      </c>
      <c r="G348" s="43">
        <f t="shared" si="22"/>
        <v>-2.3651924408825686E-2</v>
      </c>
      <c r="H348" s="48">
        <v>2151.4299999999998</v>
      </c>
      <c r="I348" s="43">
        <f t="shared" si="23"/>
        <v>-2.6682832596667594E-2</v>
      </c>
      <c r="J348" s="3"/>
      <c r="K348" s="3"/>
      <c r="L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x14ac:dyDescent="0.2">
      <c r="A349" s="41">
        <v>42734</v>
      </c>
      <c r="B349" s="49">
        <v>4278.66</v>
      </c>
      <c r="C349" s="43">
        <f t="shared" si="20"/>
        <v>1.9765332850302686E-2</v>
      </c>
      <c r="D349" s="50">
        <v>6589.0510000000004</v>
      </c>
      <c r="E349" s="43">
        <f t="shared" si="21"/>
        <v>2.8019516773719388E-2</v>
      </c>
      <c r="F349" s="48">
        <v>1976.37</v>
      </c>
      <c r="G349" s="43">
        <f t="shared" si="22"/>
        <v>1.4086005705338245E-3</v>
      </c>
      <c r="H349" s="48">
        <v>2149.16</v>
      </c>
      <c r="I349" s="43">
        <f t="shared" si="23"/>
        <v>-1.0551121812003572E-3</v>
      </c>
      <c r="J349" s="3"/>
      <c r="K349" s="3"/>
      <c r="L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x14ac:dyDescent="0.2">
      <c r="A350" s="41">
        <v>42766</v>
      </c>
      <c r="B350" s="49">
        <v>4359.8100000000004</v>
      </c>
      <c r="C350" s="43">
        <f t="shared" si="20"/>
        <v>1.8966218395479073E-2</v>
      </c>
      <c r="D350" s="50">
        <v>6615.0410000000002</v>
      </c>
      <c r="E350" s="43">
        <f t="shared" si="21"/>
        <v>3.9444223454940808E-3</v>
      </c>
      <c r="F350" s="48">
        <v>1980.25</v>
      </c>
      <c r="G350" s="43">
        <f t="shared" si="22"/>
        <v>1.9631951507055323E-3</v>
      </c>
      <c r="H350" s="48">
        <v>2154.02</v>
      </c>
      <c r="I350" s="43">
        <f t="shared" si="23"/>
        <v>2.2613486199258848E-3</v>
      </c>
      <c r="J350" s="3"/>
      <c r="K350" s="3"/>
      <c r="L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x14ac:dyDescent="0.2">
      <c r="A351" s="41">
        <v>42794</v>
      </c>
      <c r="B351" s="49">
        <v>4532.93</v>
      </c>
      <c r="C351" s="43">
        <f t="shared" si="20"/>
        <v>3.970815241948622E-2</v>
      </c>
      <c r="D351" s="50">
        <v>6742.7039999999997</v>
      </c>
      <c r="E351" s="43">
        <f t="shared" si="21"/>
        <v>1.9298897769492118E-2</v>
      </c>
      <c r="F351" s="48">
        <v>1993.56</v>
      </c>
      <c r="G351" s="43">
        <f t="shared" si="22"/>
        <v>6.7213735639439776E-3</v>
      </c>
      <c r="H351" s="48">
        <v>2164.65</v>
      </c>
      <c r="I351" s="43">
        <f t="shared" si="23"/>
        <v>4.9349588211808904E-3</v>
      </c>
      <c r="J351" s="3"/>
      <c r="K351" s="3"/>
      <c r="L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x14ac:dyDescent="0.2">
      <c r="A352" s="41">
        <v>42825</v>
      </c>
      <c r="B352" s="49">
        <v>4538.21</v>
      </c>
      <c r="C352" s="43">
        <f t="shared" si="20"/>
        <v>1.1648095161407301E-3</v>
      </c>
      <c r="D352" s="50">
        <v>6751.527</v>
      </c>
      <c r="E352" s="43">
        <f t="shared" si="21"/>
        <v>1.3085254817652991E-3</v>
      </c>
      <c r="F352" s="48">
        <v>1992.51</v>
      </c>
      <c r="G352" s="43">
        <f t="shared" si="22"/>
        <v>-5.2669596099441662E-4</v>
      </c>
      <c r="H352" s="48">
        <v>2163.66</v>
      </c>
      <c r="I352" s="43">
        <f t="shared" si="23"/>
        <v>-4.5734876307956807E-4</v>
      </c>
      <c r="J352" s="3"/>
      <c r="K352" s="3"/>
      <c r="L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x14ac:dyDescent="0.2">
      <c r="A353" s="41">
        <v>42853</v>
      </c>
      <c r="B353" s="49">
        <v>4584.82</v>
      </c>
      <c r="C353" s="43">
        <f t="shared" si="20"/>
        <v>1.0270569233243876E-2</v>
      </c>
      <c r="D353" s="50">
        <v>6825.5680000000002</v>
      </c>
      <c r="E353" s="43">
        <f t="shared" si="21"/>
        <v>1.0966556158332752E-2</v>
      </c>
      <c r="F353" s="48">
        <v>2007.89</v>
      </c>
      <c r="G353" s="43">
        <f t="shared" si="22"/>
        <v>7.7189073078680615E-3</v>
      </c>
      <c r="H353" s="48">
        <v>2178.69</v>
      </c>
      <c r="I353" s="43">
        <f t="shared" si="23"/>
        <v>6.9465627686420284E-3</v>
      </c>
      <c r="J353" s="3"/>
      <c r="K353" s="3"/>
      <c r="L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x14ac:dyDescent="0.2">
      <c r="A354" s="41">
        <v>42886</v>
      </c>
      <c r="B354" s="49">
        <v>4649.34</v>
      </c>
      <c r="C354" s="43">
        <f t="shared" si="20"/>
        <v>1.40725262932897E-2</v>
      </c>
      <c r="D354" s="50">
        <v>6686.7079999999996</v>
      </c>
      <c r="E354" s="43">
        <f t="shared" si="21"/>
        <v>-2.0344094440199023E-2</v>
      </c>
      <c r="F354" s="48">
        <v>2023.34</v>
      </c>
      <c r="G354" s="43">
        <f t="shared" si="22"/>
        <v>7.6946446269465785E-3</v>
      </c>
      <c r="H354" s="48">
        <v>2192.91</v>
      </c>
      <c r="I354" s="43">
        <f t="shared" si="23"/>
        <v>6.5268578824888568E-3</v>
      </c>
      <c r="J354" s="3"/>
      <c r="K354" s="3"/>
      <c r="L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x14ac:dyDescent="0.2">
      <c r="A355" s="41">
        <v>42916</v>
      </c>
      <c r="B355" s="49">
        <v>4678.3599999999997</v>
      </c>
      <c r="C355" s="43">
        <f t="shared" si="20"/>
        <v>6.2417461403123653E-3</v>
      </c>
      <c r="D355" s="50">
        <v>6917.8559999999998</v>
      </c>
      <c r="E355" s="43">
        <f t="shared" si="21"/>
        <v>3.4568280834156306E-2</v>
      </c>
      <c r="F355" s="48">
        <v>2021.31</v>
      </c>
      <c r="G355" s="43">
        <f t="shared" si="22"/>
        <v>-1.0032915871776016E-3</v>
      </c>
      <c r="H355" s="48">
        <v>2189.36</v>
      </c>
      <c r="I355" s="43">
        <f t="shared" si="23"/>
        <v>-1.6188534869190363E-3</v>
      </c>
      <c r="J355" s="3"/>
      <c r="K355" s="3"/>
      <c r="L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x14ac:dyDescent="0.2">
      <c r="A356" s="41">
        <v>42947</v>
      </c>
      <c r="B356" s="49">
        <v>4774.5600000000004</v>
      </c>
      <c r="C356" s="43">
        <f t="shared" si="20"/>
        <v>2.0562761309518951E-2</v>
      </c>
      <c r="D356" s="50">
        <v>6969.2520000000004</v>
      </c>
      <c r="E356" s="43">
        <f t="shared" si="21"/>
        <v>7.4294694772485403E-3</v>
      </c>
      <c r="F356" s="48">
        <v>2030.01</v>
      </c>
      <c r="G356" s="43">
        <f t="shared" si="22"/>
        <v>4.3041393947489404E-3</v>
      </c>
      <c r="H356" s="48">
        <v>2193.0100000000002</v>
      </c>
      <c r="I356" s="43">
        <f t="shared" si="23"/>
        <v>1.6671538714509992E-3</v>
      </c>
      <c r="J356" s="3"/>
      <c r="K356" s="3"/>
      <c r="L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x14ac:dyDescent="0.2">
      <c r="A357" s="41">
        <v>42978</v>
      </c>
      <c r="B357" s="49">
        <v>4789.18</v>
      </c>
      <c r="C357" s="43">
        <f t="shared" si="20"/>
        <v>3.0620622633290573E-3</v>
      </c>
      <c r="D357" s="50">
        <v>6880.5889999999999</v>
      </c>
      <c r="E357" s="43">
        <f t="shared" si="21"/>
        <v>-1.2722025261821535E-2</v>
      </c>
      <c r="F357" s="48">
        <v>2048.21</v>
      </c>
      <c r="G357" s="43">
        <f t="shared" si="22"/>
        <v>8.9654730764874291E-3</v>
      </c>
      <c r="H357" s="48">
        <v>2216.75</v>
      </c>
      <c r="I357" s="43">
        <f t="shared" si="23"/>
        <v>1.0825304034181249E-2</v>
      </c>
      <c r="J357" s="3"/>
      <c r="K357" s="3"/>
      <c r="L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x14ac:dyDescent="0.2">
      <c r="A358" s="41">
        <v>43007</v>
      </c>
      <c r="B358" s="49">
        <v>4887.97</v>
      </c>
      <c r="C358" s="43">
        <f t="shared" si="20"/>
        <v>2.0627748382813005E-2</v>
      </c>
      <c r="D358" s="50">
        <v>7310</v>
      </c>
      <c r="E358" s="43">
        <f t="shared" si="21"/>
        <v>6.2409046667371015E-2</v>
      </c>
      <c r="F358" s="48">
        <v>2038.46</v>
      </c>
      <c r="G358" s="43">
        <f t="shared" si="22"/>
        <v>-4.7602540755098399E-3</v>
      </c>
      <c r="H358" s="48">
        <v>2197.75</v>
      </c>
      <c r="I358" s="43">
        <f t="shared" si="23"/>
        <v>-8.5711063493854045E-3</v>
      </c>
      <c r="J358" s="3"/>
      <c r="K358" s="3"/>
      <c r="L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x14ac:dyDescent="0.2">
      <c r="A359" s="41">
        <v>43039</v>
      </c>
      <c r="B359" s="49">
        <v>5002.03</v>
      </c>
      <c r="C359" s="43">
        <f t="shared" si="20"/>
        <v>2.3334840434781512E-2</v>
      </c>
      <c r="D359" s="50">
        <v>7372.3130000000001</v>
      </c>
      <c r="E359" s="43">
        <f t="shared" si="21"/>
        <v>8.5243502051983722E-3</v>
      </c>
      <c r="F359" s="48">
        <v>2039.64</v>
      </c>
      <c r="G359" s="43">
        <f t="shared" si="22"/>
        <v>5.7886836141007869E-4</v>
      </c>
      <c r="H359" s="48">
        <v>2195.09</v>
      </c>
      <c r="I359" s="43">
        <f t="shared" si="23"/>
        <v>-1.2103287453076872E-3</v>
      </c>
      <c r="J359" s="3"/>
      <c r="K359" s="3"/>
      <c r="L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x14ac:dyDescent="0.2">
      <c r="A360" s="41">
        <v>43069</v>
      </c>
      <c r="B360" s="49">
        <v>5155.4399999999996</v>
      </c>
      <c r="C360" s="43">
        <f t="shared" si="20"/>
        <v>3.0669548163445581E-2</v>
      </c>
      <c r="D360" s="50">
        <v>7584.7780000000002</v>
      </c>
      <c r="E360" s="43">
        <f t="shared" si="21"/>
        <v>2.8819313558716253E-2</v>
      </c>
      <c r="F360" s="48">
        <v>2037.02</v>
      </c>
      <c r="G360" s="43">
        <f t="shared" si="22"/>
        <v>-1.2845404090918722E-3</v>
      </c>
      <c r="H360" s="48">
        <v>2192.0700000000002</v>
      </c>
      <c r="I360" s="43">
        <f t="shared" si="23"/>
        <v>-1.3757978032791218E-3</v>
      </c>
      <c r="J360" s="3"/>
      <c r="K360" s="3"/>
      <c r="L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x14ac:dyDescent="0.2">
      <c r="A361" s="41">
        <v>43098</v>
      </c>
      <c r="B361" s="49">
        <v>5212.76</v>
      </c>
      <c r="C361" s="43">
        <f t="shared" si="20"/>
        <v>1.1118352652732089E-2</v>
      </c>
      <c r="D361" s="50">
        <v>7554.165</v>
      </c>
      <c r="E361" s="43">
        <f t="shared" si="21"/>
        <v>-4.0361102197058463E-3</v>
      </c>
      <c r="F361" s="48">
        <v>2046.37</v>
      </c>
      <c r="G361" s="43">
        <f t="shared" si="22"/>
        <v>4.5900383894119656E-3</v>
      </c>
      <c r="H361" s="48">
        <v>2198.85</v>
      </c>
      <c r="I361" s="43">
        <f t="shared" si="23"/>
        <v>3.0929669216765987E-3</v>
      </c>
      <c r="J361" s="3"/>
      <c r="K361" s="3"/>
      <c r="L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x14ac:dyDescent="0.2">
      <c r="A362" s="41">
        <v>43131</v>
      </c>
      <c r="B362" s="49">
        <v>5511.21</v>
      </c>
      <c r="C362" s="43">
        <f t="shared" si="20"/>
        <v>5.7253738902232287E-2</v>
      </c>
      <c r="D362" s="50">
        <v>7751.5879999999997</v>
      </c>
      <c r="E362" s="43">
        <f t="shared" si="21"/>
        <v>2.6134324574588863E-2</v>
      </c>
      <c r="F362" s="48">
        <v>2022.8</v>
      </c>
      <c r="G362" s="43">
        <f t="shared" si="22"/>
        <v>-1.1517956185831513E-2</v>
      </c>
      <c r="H362" s="48">
        <v>2168.9699999999998</v>
      </c>
      <c r="I362" s="43">
        <f t="shared" si="23"/>
        <v>-1.3588921481683669E-2</v>
      </c>
      <c r="J362" s="3"/>
      <c r="K362" s="3"/>
      <c r="L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x14ac:dyDescent="0.2">
      <c r="A363" s="3"/>
      <c r="B363" s="14"/>
      <c r="C363" s="14"/>
      <c r="D363" s="14"/>
      <c r="E363" s="14"/>
      <c r="F363" s="14"/>
      <c r="G363" s="14"/>
      <c r="H363" s="14"/>
      <c r="I363" s="14"/>
      <c r="J363" s="3"/>
      <c r="K363" s="3"/>
      <c r="L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x14ac:dyDescent="0.2">
      <c r="A364" s="3"/>
      <c r="B364" s="14"/>
      <c r="C364" s="14"/>
      <c r="D364" s="14"/>
      <c r="E364" s="14"/>
      <c r="F364" s="14"/>
      <c r="G364" s="14"/>
      <c r="H364" s="14"/>
      <c r="I364" s="14"/>
      <c r="J364" s="3"/>
      <c r="K364" s="3"/>
      <c r="L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x14ac:dyDescent="0.2">
      <c r="A365" s="3"/>
      <c r="B365" s="14"/>
      <c r="C365" s="14"/>
      <c r="D365" s="14"/>
      <c r="E365" s="14"/>
      <c r="F365" s="14"/>
      <c r="G365" s="14"/>
      <c r="H365" s="14"/>
      <c r="I365" s="14"/>
      <c r="J365" s="3"/>
      <c r="K365" s="3"/>
      <c r="L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x14ac:dyDescent="0.2">
      <c r="A366" s="3"/>
      <c r="B366" s="14"/>
      <c r="C366" s="14"/>
      <c r="D366" s="14"/>
      <c r="E366" s="14"/>
      <c r="F366" s="14"/>
      <c r="G366" s="14"/>
      <c r="H366" s="14"/>
      <c r="I366" s="14"/>
      <c r="J366" s="3"/>
      <c r="K366" s="3"/>
      <c r="L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x14ac:dyDescent="0.2">
      <c r="A367" s="3"/>
      <c r="B367" s="14"/>
      <c r="C367" s="14"/>
      <c r="D367" s="14"/>
      <c r="E367" s="14"/>
      <c r="F367" s="14"/>
      <c r="G367" s="14"/>
      <c r="H367" s="14"/>
      <c r="I367" s="14"/>
      <c r="J367" s="3"/>
      <c r="K367" s="3"/>
      <c r="L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x14ac:dyDescent="0.2">
      <c r="A368" s="3"/>
      <c r="B368" s="14"/>
      <c r="C368" s="14"/>
      <c r="D368" s="14"/>
      <c r="E368" s="14"/>
      <c r="F368" s="14"/>
      <c r="G368" s="14"/>
      <c r="H368" s="14"/>
      <c r="I368" s="14"/>
      <c r="J368" s="3"/>
      <c r="K368" s="3"/>
      <c r="L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x14ac:dyDescent="0.2">
      <c r="A369" s="3"/>
      <c r="B369" s="14"/>
      <c r="C369" s="14"/>
      <c r="D369" s="14"/>
      <c r="E369" s="14"/>
      <c r="F369" s="14"/>
      <c r="G369" s="14"/>
      <c r="H369" s="14"/>
      <c r="I369" s="14"/>
      <c r="J369" s="3"/>
      <c r="K369" s="3"/>
      <c r="L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x14ac:dyDescent="0.2">
      <c r="A370" s="3"/>
      <c r="B370" s="14"/>
      <c r="C370" s="14"/>
      <c r="D370" s="14"/>
      <c r="E370" s="14"/>
      <c r="F370" s="14"/>
      <c r="G370" s="14"/>
      <c r="H370" s="14"/>
      <c r="I370" s="14"/>
      <c r="J370" s="3"/>
      <c r="K370" s="3"/>
      <c r="L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x14ac:dyDescent="0.2">
      <c r="A371" s="3"/>
      <c r="B371" s="14"/>
      <c r="C371" s="14"/>
      <c r="D371" s="14"/>
      <c r="E371" s="14"/>
      <c r="F371" s="14"/>
      <c r="G371" s="14"/>
      <c r="H371" s="14"/>
      <c r="I371" s="14"/>
      <c r="J371" s="3"/>
      <c r="K371" s="3"/>
      <c r="L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x14ac:dyDescent="0.2">
      <c r="A372" s="3"/>
      <c r="B372" s="14"/>
      <c r="C372" s="14"/>
      <c r="D372" s="14"/>
      <c r="E372" s="14"/>
      <c r="F372" s="14"/>
      <c r="G372" s="14"/>
      <c r="H372" s="14"/>
      <c r="I372" s="14"/>
      <c r="J372" s="3"/>
      <c r="K372" s="3"/>
      <c r="L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x14ac:dyDescent="0.2">
      <c r="A373" s="3"/>
      <c r="B373" s="14"/>
      <c r="C373" s="14"/>
      <c r="D373" s="14"/>
      <c r="E373" s="14"/>
      <c r="F373" s="14"/>
      <c r="G373" s="14"/>
      <c r="H373" s="14"/>
      <c r="I373" s="14"/>
      <c r="J373" s="3"/>
      <c r="K373" s="3"/>
      <c r="L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x14ac:dyDescent="0.2">
      <c r="A374" s="3"/>
      <c r="B374" s="14"/>
      <c r="C374" s="14"/>
      <c r="D374" s="14"/>
      <c r="E374" s="14"/>
      <c r="F374" s="14"/>
      <c r="G374" s="14"/>
      <c r="H374" s="14"/>
      <c r="I374" s="14"/>
      <c r="J374" s="3"/>
      <c r="K374" s="3"/>
      <c r="L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x14ac:dyDescent="0.2">
      <c r="A375" s="3"/>
      <c r="B375" s="14"/>
      <c r="C375" s="14"/>
      <c r="D375" s="14"/>
      <c r="E375" s="14"/>
      <c r="F375" s="14"/>
      <c r="G375" s="14"/>
      <c r="H375" s="14"/>
      <c r="I375" s="14"/>
      <c r="J375" s="3"/>
      <c r="K375" s="3"/>
      <c r="L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x14ac:dyDescent="0.2">
      <c r="A376" s="3"/>
      <c r="B376" s="14"/>
      <c r="C376" s="14"/>
      <c r="D376" s="14"/>
      <c r="E376" s="14"/>
      <c r="F376" s="14"/>
      <c r="G376" s="14"/>
      <c r="H376" s="14"/>
      <c r="I376" s="14"/>
      <c r="J376" s="3"/>
      <c r="K376" s="3"/>
      <c r="L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x14ac:dyDescent="0.2">
      <c r="A377" s="3"/>
      <c r="B377" s="14"/>
      <c r="C377" s="14"/>
      <c r="D377" s="14"/>
      <c r="E377" s="14"/>
      <c r="F377" s="14"/>
      <c r="G377" s="14"/>
      <c r="H377" s="14"/>
      <c r="I377" s="14"/>
      <c r="J377" s="3"/>
      <c r="K377" s="3"/>
      <c r="L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x14ac:dyDescent="0.2">
      <c r="A378" s="3"/>
      <c r="B378" s="14"/>
      <c r="C378" s="14"/>
      <c r="D378" s="14"/>
      <c r="E378" s="14"/>
      <c r="F378" s="14"/>
      <c r="G378" s="14"/>
      <c r="H378" s="14"/>
      <c r="I378" s="14"/>
      <c r="J378" s="3"/>
      <c r="K378" s="3"/>
      <c r="L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x14ac:dyDescent="0.2">
      <c r="A379" s="3"/>
      <c r="B379" s="14"/>
      <c r="C379" s="14"/>
      <c r="D379" s="14"/>
      <c r="E379" s="14"/>
      <c r="F379" s="14"/>
      <c r="G379" s="14"/>
      <c r="H379" s="14"/>
      <c r="I379" s="14"/>
      <c r="J379" s="3"/>
      <c r="K379" s="3"/>
      <c r="L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x14ac:dyDescent="0.2">
      <c r="A380" s="3"/>
      <c r="B380" s="14"/>
      <c r="C380" s="14"/>
      <c r="D380" s="14"/>
      <c r="E380" s="14"/>
      <c r="F380" s="14"/>
      <c r="G380" s="14"/>
      <c r="H380" s="14"/>
      <c r="I380" s="14"/>
      <c r="J380" s="3"/>
      <c r="K380" s="3"/>
      <c r="L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x14ac:dyDescent="0.2">
      <c r="A381" s="3"/>
      <c r="B381" s="14"/>
      <c r="C381" s="14"/>
      <c r="D381" s="14"/>
      <c r="E381" s="14"/>
      <c r="F381" s="14"/>
      <c r="G381" s="14"/>
      <c r="H381" s="14"/>
      <c r="I381" s="14"/>
      <c r="J381" s="3"/>
      <c r="K381" s="3"/>
      <c r="L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x14ac:dyDescent="0.2">
      <c r="A382" s="3"/>
      <c r="B382" s="14"/>
      <c r="C382" s="14"/>
      <c r="D382" s="14"/>
      <c r="E382" s="14"/>
      <c r="F382" s="14"/>
      <c r="G382" s="14"/>
      <c r="H382" s="14"/>
      <c r="I382" s="14"/>
      <c r="J382" s="3"/>
      <c r="K382" s="3"/>
      <c r="L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x14ac:dyDescent="0.2">
      <c r="A383" s="3"/>
      <c r="B383" s="14"/>
      <c r="C383" s="14"/>
      <c r="D383" s="14"/>
      <c r="E383" s="14"/>
      <c r="F383" s="14"/>
      <c r="G383" s="14"/>
      <c r="H383" s="14"/>
      <c r="I383" s="14"/>
      <c r="J383" s="3"/>
      <c r="K383" s="3"/>
      <c r="L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x14ac:dyDescent="0.2">
      <c r="A384" s="3"/>
      <c r="B384" s="14"/>
      <c r="C384" s="14"/>
      <c r="D384" s="14"/>
      <c r="E384" s="14"/>
      <c r="F384" s="14"/>
      <c r="G384" s="14"/>
      <c r="H384" s="14"/>
      <c r="I384" s="14"/>
      <c r="J384" s="3"/>
      <c r="K384" s="3"/>
      <c r="L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x14ac:dyDescent="0.2">
      <c r="A385" s="3"/>
      <c r="B385" s="14"/>
      <c r="C385" s="14"/>
      <c r="D385" s="14"/>
      <c r="E385" s="14"/>
      <c r="F385" s="14"/>
      <c r="G385" s="14"/>
      <c r="H385" s="14"/>
      <c r="I385" s="14"/>
      <c r="J385" s="3"/>
      <c r="K385" s="3"/>
      <c r="L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x14ac:dyDescent="0.2">
      <c r="A386" s="3"/>
      <c r="B386" s="14"/>
      <c r="C386" s="14"/>
      <c r="D386" s="14"/>
      <c r="E386" s="14"/>
      <c r="F386" s="14"/>
      <c r="G386" s="14"/>
      <c r="H386" s="14"/>
      <c r="I386" s="14"/>
      <c r="J386" s="3"/>
      <c r="K386" s="3"/>
      <c r="L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x14ac:dyDescent="0.2">
      <c r="A387" s="3"/>
      <c r="B387" s="14"/>
      <c r="C387" s="14"/>
      <c r="D387" s="14"/>
      <c r="E387" s="14"/>
      <c r="F387" s="14"/>
      <c r="G387" s="14"/>
      <c r="H387" s="14"/>
      <c r="I387" s="14"/>
      <c r="J387" s="3"/>
      <c r="K387" s="3"/>
      <c r="L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x14ac:dyDescent="0.2">
      <c r="A388" s="3"/>
      <c r="B388" s="14"/>
      <c r="C388" s="14"/>
      <c r="D388" s="14"/>
      <c r="E388" s="14"/>
      <c r="F388" s="14"/>
      <c r="G388" s="14"/>
      <c r="H388" s="14"/>
      <c r="I388" s="14"/>
      <c r="J388" s="3"/>
      <c r="K388" s="3"/>
      <c r="L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x14ac:dyDescent="0.2">
      <c r="A389" s="3"/>
      <c r="B389" s="14"/>
      <c r="C389" s="14"/>
      <c r="D389" s="14"/>
      <c r="E389" s="14"/>
      <c r="F389" s="14"/>
      <c r="G389" s="14"/>
      <c r="H389" s="14"/>
      <c r="I389" s="14"/>
      <c r="J389" s="3"/>
      <c r="K389" s="3"/>
      <c r="L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x14ac:dyDescent="0.2">
      <c r="A390" s="3"/>
      <c r="B390" s="14"/>
      <c r="C390" s="14"/>
      <c r="D390" s="14"/>
      <c r="E390" s="14"/>
      <c r="F390" s="14"/>
      <c r="G390" s="14"/>
      <c r="H390" s="14"/>
      <c r="I390" s="14"/>
      <c r="J390" s="3"/>
      <c r="K390" s="3"/>
      <c r="L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x14ac:dyDescent="0.2">
      <c r="A391" s="3"/>
      <c r="B391" s="14"/>
      <c r="C391" s="14"/>
      <c r="D391" s="14"/>
      <c r="E391" s="14"/>
      <c r="F391" s="14"/>
      <c r="G391" s="14"/>
      <c r="H391" s="14"/>
      <c r="I391" s="14"/>
      <c r="J391" s="3"/>
      <c r="K391" s="3"/>
      <c r="L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x14ac:dyDescent="0.2">
      <c r="A392" s="3"/>
      <c r="B392" s="14"/>
      <c r="C392" s="14"/>
      <c r="D392" s="14"/>
      <c r="E392" s="14"/>
      <c r="F392" s="14"/>
      <c r="G392" s="14"/>
      <c r="H392" s="14"/>
      <c r="I392" s="14"/>
      <c r="J392" s="3"/>
      <c r="K392" s="3"/>
      <c r="L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x14ac:dyDescent="0.2">
      <c r="A393" s="3"/>
      <c r="B393" s="14"/>
      <c r="C393" s="14"/>
      <c r="D393" s="14"/>
      <c r="E393" s="14"/>
      <c r="F393" s="14"/>
      <c r="G393" s="14"/>
      <c r="H393" s="14"/>
      <c r="I393" s="14"/>
      <c r="J393" s="3"/>
      <c r="K393" s="3"/>
      <c r="L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x14ac:dyDescent="0.2">
      <c r="A394" s="3"/>
      <c r="B394" s="14"/>
      <c r="C394" s="14"/>
      <c r="D394" s="14"/>
      <c r="E394" s="14"/>
      <c r="F394" s="14"/>
      <c r="G394" s="14"/>
      <c r="H394" s="14"/>
      <c r="I394" s="14"/>
      <c r="J394" s="3"/>
      <c r="K394" s="3"/>
      <c r="L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x14ac:dyDescent="0.2">
      <c r="A395" s="3"/>
      <c r="B395" s="14"/>
      <c r="C395" s="14"/>
      <c r="D395" s="14"/>
      <c r="E395" s="14"/>
      <c r="F395" s="14"/>
      <c r="G395" s="14"/>
      <c r="H395" s="14"/>
      <c r="I395" s="14"/>
      <c r="J395" s="3"/>
      <c r="K395" s="3"/>
      <c r="L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x14ac:dyDescent="0.2">
      <c r="A396" s="3"/>
      <c r="B396" s="14"/>
      <c r="C396" s="14"/>
      <c r="D396" s="14"/>
      <c r="E396" s="14"/>
      <c r="F396" s="14"/>
      <c r="G396" s="14"/>
      <c r="H396" s="14"/>
      <c r="I396" s="14"/>
      <c r="J396" s="3"/>
      <c r="K396" s="3"/>
      <c r="L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x14ac:dyDescent="0.2">
      <c r="A397" s="3"/>
      <c r="B397" s="14"/>
      <c r="C397" s="14"/>
      <c r="D397" s="14"/>
      <c r="E397" s="14"/>
      <c r="F397" s="14"/>
      <c r="G397" s="14"/>
      <c r="H397" s="14"/>
      <c r="I397" s="14"/>
      <c r="J397" s="3"/>
      <c r="K397" s="3"/>
      <c r="L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x14ac:dyDescent="0.2">
      <c r="A398" s="3"/>
      <c r="B398" s="14"/>
      <c r="C398" s="14"/>
      <c r="D398" s="14"/>
      <c r="E398" s="14"/>
      <c r="F398" s="14"/>
      <c r="G398" s="14"/>
      <c r="H398" s="14"/>
      <c r="I398" s="14"/>
      <c r="J398" s="3"/>
      <c r="K398" s="3"/>
      <c r="L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x14ac:dyDescent="0.2">
      <c r="A399" s="3"/>
      <c r="B399" s="14"/>
      <c r="C399" s="14"/>
      <c r="D399" s="14"/>
      <c r="E399" s="14"/>
      <c r="F399" s="14"/>
      <c r="G399" s="14"/>
      <c r="H399" s="14"/>
      <c r="I399" s="14"/>
      <c r="J399" s="3"/>
      <c r="K399" s="3"/>
      <c r="L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x14ac:dyDescent="0.2">
      <c r="A400" s="3"/>
      <c r="B400" s="14"/>
      <c r="C400" s="14"/>
      <c r="D400" s="14"/>
      <c r="E400" s="14"/>
      <c r="F400" s="14"/>
      <c r="G400" s="14"/>
      <c r="H400" s="14"/>
      <c r="I400" s="14"/>
      <c r="J400" s="3"/>
      <c r="K400" s="3"/>
      <c r="L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x14ac:dyDescent="0.2">
      <c r="A401" s="3"/>
      <c r="B401" s="14"/>
      <c r="C401" s="14"/>
      <c r="D401" s="14"/>
      <c r="E401" s="14"/>
      <c r="F401" s="14"/>
      <c r="G401" s="14"/>
      <c r="H401" s="14"/>
      <c r="I401" s="14"/>
      <c r="J401" s="3"/>
      <c r="K401" s="3"/>
      <c r="L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x14ac:dyDescent="0.2">
      <c r="A402" s="3"/>
      <c r="B402" s="14"/>
      <c r="C402" s="14"/>
      <c r="D402" s="14"/>
      <c r="E402" s="14"/>
      <c r="F402" s="14"/>
      <c r="G402" s="14"/>
      <c r="H402" s="14"/>
      <c r="I402" s="14"/>
      <c r="J402" s="3"/>
      <c r="K402" s="3"/>
      <c r="L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x14ac:dyDescent="0.2">
      <c r="A403" s="3"/>
      <c r="B403" s="14"/>
      <c r="C403" s="14"/>
      <c r="D403" s="14"/>
      <c r="E403" s="14"/>
      <c r="F403" s="14"/>
      <c r="G403" s="14"/>
      <c r="H403" s="14"/>
      <c r="I403" s="14"/>
      <c r="J403" s="3"/>
      <c r="K403" s="3"/>
      <c r="L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x14ac:dyDescent="0.2">
      <c r="A404" s="3"/>
      <c r="B404" s="14"/>
      <c r="C404" s="14"/>
      <c r="D404" s="14"/>
      <c r="E404" s="14"/>
      <c r="F404" s="14"/>
      <c r="G404" s="14"/>
      <c r="H404" s="14"/>
      <c r="I404" s="14"/>
      <c r="J404" s="3"/>
      <c r="K404" s="3"/>
      <c r="L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x14ac:dyDescent="0.2">
      <c r="A405" s="3"/>
      <c r="B405" s="14"/>
      <c r="C405" s="14"/>
      <c r="D405" s="14"/>
      <c r="E405" s="14"/>
      <c r="F405" s="14"/>
      <c r="G405" s="14"/>
      <c r="H405" s="14"/>
      <c r="I405" s="14"/>
      <c r="J405" s="3"/>
      <c r="K405" s="3"/>
      <c r="L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x14ac:dyDescent="0.2">
      <c r="A406" s="3"/>
      <c r="B406" s="14"/>
      <c r="C406" s="14"/>
      <c r="D406" s="14"/>
      <c r="E406" s="14"/>
      <c r="F406" s="14"/>
      <c r="G406" s="14"/>
      <c r="H406" s="14"/>
      <c r="I406" s="14"/>
      <c r="J406" s="3"/>
      <c r="K406" s="3"/>
      <c r="L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x14ac:dyDescent="0.2">
      <c r="A407" s="3"/>
      <c r="B407" s="14"/>
      <c r="C407" s="14"/>
      <c r="D407" s="14"/>
      <c r="E407" s="14"/>
      <c r="F407" s="14"/>
      <c r="G407" s="14"/>
      <c r="H407" s="14"/>
      <c r="I407" s="14"/>
      <c r="J407" s="3"/>
      <c r="K407" s="3"/>
      <c r="L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x14ac:dyDescent="0.2">
      <c r="A408" s="3"/>
      <c r="B408" s="14"/>
      <c r="C408" s="14"/>
      <c r="D408" s="14"/>
      <c r="E408" s="14"/>
      <c r="F408" s="14"/>
      <c r="G408" s="14"/>
      <c r="H408" s="14"/>
      <c r="I408" s="14"/>
      <c r="J408" s="3"/>
      <c r="K408" s="3"/>
      <c r="L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x14ac:dyDescent="0.2">
      <c r="A409" s="3"/>
      <c r="B409" s="14"/>
      <c r="C409" s="14"/>
      <c r="D409" s="14"/>
      <c r="E409" s="14"/>
      <c r="F409" s="14"/>
      <c r="G409" s="14"/>
      <c r="H409" s="14"/>
      <c r="I409" s="14"/>
      <c r="J409" s="3"/>
      <c r="K409" s="3"/>
      <c r="L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x14ac:dyDescent="0.2">
      <c r="A410" s="3"/>
      <c r="B410" s="14"/>
      <c r="C410" s="14"/>
      <c r="D410" s="14"/>
      <c r="E410" s="14"/>
      <c r="F410" s="14"/>
      <c r="G410" s="14"/>
      <c r="H410" s="14"/>
      <c r="I410" s="14"/>
      <c r="J410" s="3"/>
      <c r="K410" s="3"/>
      <c r="L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x14ac:dyDescent="0.2">
      <c r="A411" s="3"/>
      <c r="B411" s="14"/>
      <c r="C411" s="14"/>
      <c r="D411" s="14"/>
      <c r="E411" s="14"/>
      <c r="F411" s="14"/>
      <c r="G411" s="14"/>
      <c r="H411" s="14"/>
      <c r="I411" s="14"/>
      <c r="J411" s="3"/>
      <c r="K411" s="3"/>
      <c r="L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x14ac:dyDescent="0.2">
      <c r="A412" s="3"/>
      <c r="B412" s="14"/>
      <c r="C412" s="14"/>
      <c r="D412" s="14"/>
      <c r="E412" s="14"/>
      <c r="F412" s="14"/>
      <c r="G412" s="14"/>
      <c r="H412" s="14"/>
      <c r="I412" s="14"/>
      <c r="J412" s="3"/>
      <c r="K412" s="3"/>
      <c r="L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x14ac:dyDescent="0.2">
      <c r="A413" s="3"/>
      <c r="B413" s="14"/>
      <c r="C413" s="14"/>
      <c r="D413" s="14"/>
      <c r="E413" s="14"/>
      <c r="F413" s="14"/>
      <c r="G413" s="14"/>
      <c r="H413" s="14"/>
      <c r="I413" s="14"/>
      <c r="J413" s="3"/>
      <c r="K413" s="3"/>
      <c r="L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x14ac:dyDescent="0.2">
      <c r="A414" s="3"/>
      <c r="B414" s="14"/>
      <c r="C414" s="14"/>
      <c r="D414" s="14"/>
      <c r="E414" s="14"/>
      <c r="F414" s="14"/>
      <c r="G414" s="14"/>
      <c r="H414" s="14"/>
      <c r="I414" s="14"/>
      <c r="J414" s="3"/>
      <c r="K414" s="3"/>
      <c r="L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x14ac:dyDescent="0.2">
      <c r="A415" s="3"/>
      <c r="B415" s="14"/>
      <c r="C415" s="14"/>
      <c r="D415" s="14"/>
      <c r="E415" s="14"/>
      <c r="F415" s="14"/>
      <c r="G415" s="14"/>
      <c r="H415" s="14"/>
      <c r="I415" s="14"/>
      <c r="J415" s="3"/>
      <c r="K415" s="3"/>
      <c r="L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x14ac:dyDescent="0.2">
      <c r="A416" s="3"/>
      <c r="B416" s="14"/>
      <c r="C416" s="14"/>
      <c r="D416" s="14"/>
      <c r="E416" s="14"/>
      <c r="F416" s="14"/>
      <c r="G416" s="14"/>
      <c r="H416" s="14"/>
      <c r="I416" s="14"/>
      <c r="J416" s="3"/>
      <c r="K416" s="3"/>
      <c r="L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x14ac:dyDescent="0.2">
      <c r="A417" s="3"/>
      <c r="B417" s="14"/>
      <c r="C417" s="14"/>
      <c r="D417" s="14"/>
      <c r="E417" s="14"/>
      <c r="F417" s="14"/>
      <c r="G417" s="14"/>
      <c r="H417" s="14"/>
      <c r="I417" s="14"/>
      <c r="J417" s="3"/>
      <c r="K417" s="3"/>
      <c r="L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x14ac:dyDescent="0.2">
      <c r="A418" s="3"/>
      <c r="B418" s="14"/>
      <c r="C418" s="14"/>
      <c r="D418" s="14"/>
      <c r="E418" s="14"/>
      <c r="F418" s="14"/>
      <c r="G418" s="14"/>
      <c r="H418" s="14"/>
      <c r="I418" s="14"/>
      <c r="J418" s="3"/>
      <c r="K418" s="3"/>
      <c r="L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x14ac:dyDescent="0.2">
      <c r="A419" s="3"/>
      <c r="B419" s="14"/>
      <c r="C419" s="14"/>
      <c r="D419" s="14"/>
      <c r="E419" s="14"/>
      <c r="F419" s="14"/>
      <c r="G419" s="14"/>
      <c r="H419" s="14"/>
      <c r="I419" s="14"/>
      <c r="J419" s="3"/>
      <c r="K419" s="3"/>
      <c r="L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x14ac:dyDescent="0.2">
      <c r="A420" s="3"/>
      <c r="B420" s="14"/>
      <c r="C420" s="14"/>
      <c r="D420" s="14"/>
      <c r="E420" s="14"/>
      <c r="F420" s="14"/>
      <c r="G420" s="14"/>
      <c r="H420" s="14"/>
      <c r="I420" s="14"/>
      <c r="J420" s="3"/>
      <c r="K420" s="3"/>
      <c r="L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x14ac:dyDescent="0.2">
      <c r="A421" s="3"/>
      <c r="B421" s="14"/>
      <c r="C421" s="14"/>
      <c r="D421" s="14"/>
      <c r="E421" s="14"/>
      <c r="F421" s="14"/>
      <c r="G421" s="14"/>
      <c r="H421" s="14"/>
      <c r="I421" s="14"/>
      <c r="J421" s="3"/>
      <c r="K421" s="3"/>
      <c r="L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x14ac:dyDescent="0.2">
      <c r="A422" s="3"/>
      <c r="B422" s="14"/>
      <c r="C422" s="14"/>
      <c r="D422" s="14"/>
      <c r="E422" s="14"/>
      <c r="F422" s="14"/>
      <c r="G422" s="14"/>
      <c r="H422" s="14"/>
      <c r="I422" s="14"/>
      <c r="J422" s="3"/>
      <c r="K422" s="3"/>
      <c r="L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x14ac:dyDescent="0.2">
      <c r="A423" s="3"/>
      <c r="B423" s="14"/>
      <c r="C423" s="14"/>
      <c r="D423" s="14"/>
      <c r="E423" s="14"/>
      <c r="F423" s="14"/>
      <c r="G423" s="14"/>
      <c r="H423" s="14"/>
      <c r="I423" s="14"/>
      <c r="J423" s="3"/>
      <c r="K423" s="3"/>
      <c r="L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x14ac:dyDescent="0.2">
      <c r="A424" s="3"/>
      <c r="B424" s="14"/>
      <c r="C424" s="14"/>
      <c r="D424" s="14"/>
      <c r="E424" s="14"/>
      <c r="F424" s="14"/>
      <c r="G424" s="14"/>
      <c r="H424" s="14"/>
      <c r="I424" s="14"/>
      <c r="J424" s="3"/>
      <c r="K424" s="3"/>
      <c r="L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x14ac:dyDescent="0.2">
      <c r="A425" s="3"/>
      <c r="B425" s="14"/>
      <c r="C425" s="14"/>
      <c r="D425" s="14"/>
      <c r="E425" s="14"/>
      <c r="F425" s="14"/>
      <c r="G425" s="14"/>
      <c r="H425" s="14"/>
      <c r="I425" s="14"/>
      <c r="J425" s="3"/>
      <c r="K425" s="3"/>
      <c r="L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x14ac:dyDescent="0.2">
      <c r="A426" s="3"/>
      <c r="B426" s="14"/>
      <c r="C426" s="14"/>
      <c r="D426" s="14"/>
      <c r="E426" s="14"/>
      <c r="F426" s="14"/>
      <c r="G426" s="14"/>
      <c r="H426" s="14"/>
      <c r="I426" s="14"/>
      <c r="J426" s="3"/>
      <c r="K426" s="3"/>
      <c r="L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x14ac:dyDescent="0.2">
      <c r="A427" s="3"/>
      <c r="B427" s="14"/>
      <c r="C427" s="14"/>
      <c r="D427" s="14"/>
      <c r="E427" s="14"/>
      <c r="F427" s="14"/>
      <c r="G427" s="14"/>
      <c r="H427" s="14"/>
      <c r="I427" s="14"/>
      <c r="J427" s="3"/>
      <c r="K427" s="3"/>
      <c r="L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x14ac:dyDescent="0.2">
      <c r="A428" s="3"/>
      <c r="B428" s="14"/>
      <c r="C428" s="14"/>
      <c r="D428" s="14"/>
      <c r="E428" s="14"/>
      <c r="F428" s="14"/>
      <c r="G428" s="14"/>
      <c r="H428" s="14"/>
      <c r="I428" s="14"/>
      <c r="J428" s="3"/>
      <c r="K428" s="3"/>
      <c r="L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x14ac:dyDescent="0.2">
      <c r="A429" s="3"/>
      <c r="B429" s="14"/>
      <c r="C429" s="14"/>
      <c r="D429" s="14"/>
      <c r="E429" s="14"/>
      <c r="F429" s="14"/>
      <c r="G429" s="14"/>
      <c r="H429" s="14"/>
      <c r="I429" s="14"/>
      <c r="J429" s="3"/>
      <c r="K429" s="3"/>
      <c r="L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x14ac:dyDescent="0.2">
      <c r="A430" s="3"/>
      <c r="B430" s="14"/>
      <c r="C430" s="14"/>
      <c r="D430" s="14"/>
      <c r="E430" s="14"/>
      <c r="F430" s="14"/>
      <c r="G430" s="14"/>
      <c r="H430" s="14"/>
      <c r="I430" s="14"/>
      <c r="J430" s="3"/>
      <c r="K430" s="3"/>
      <c r="L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x14ac:dyDescent="0.2">
      <c r="A431" s="3"/>
      <c r="B431" s="14"/>
      <c r="C431" s="14"/>
      <c r="D431" s="14"/>
      <c r="E431" s="14"/>
      <c r="F431" s="14"/>
      <c r="G431" s="14"/>
      <c r="H431" s="14"/>
      <c r="I431" s="14"/>
      <c r="J431" s="3"/>
      <c r="K431" s="3"/>
      <c r="L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x14ac:dyDescent="0.2">
      <c r="A432" s="3"/>
      <c r="B432" s="14"/>
      <c r="C432" s="14"/>
      <c r="D432" s="14"/>
      <c r="E432" s="14"/>
      <c r="F432" s="14"/>
      <c r="G432" s="14"/>
      <c r="H432" s="14"/>
      <c r="I432" s="14"/>
      <c r="J432" s="3"/>
      <c r="K432" s="3"/>
      <c r="L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x14ac:dyDescent="0.2">
      <c r="A433" s="3"/>
      <c r="B433" s="14"/>
      <c r="C433" s="14"/>
      <c r="D433" s="14"/>
      <c r="E433" s="14"/>
      <c r="F433" s="14"/>
      <c r="G433" s="14"/>
      <c r="H433" s="14"/>
      <c r="I433" s="14"/>
      <c r="J433" s="3"/>
      <c r="K433" s="3"/>
      <c r="L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x14ac:dyDescent="0.2">
      <c r="A434" s="3"/>
      <c r="B434" s="14"/>
      <c r="C434" s="14"/>
      <c r="D434" s="14"/>
      <c r="E434" s="14"/>
      <c r="F434" s="14"/>
      <c r="G434" s="14"/>
      <c r="H434" s="14"/>
      <c r="I434" s="14"/>
      <c r="J434" s="3"/>
      <c r="K434" s="3"/>
      <c r="L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x14ac:dyDescent="0.2">
      <c r="A435" s="3"/>
      <c r="B435" s="14"/>
      <c r="C435" s="14"/>
      <c r="D435" s="14"/>
      <c r="E435" s="14"/>
      <c r="F435" s="14"/>
      <c r="G435" s="14"/>
      <c r="H435" s="14"/>
      <c r="I435" s="14"/>
      <c r="J435" s="3"/>
      <c r="K435" s="3"/>
      <c r="L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x14ac:dyDescent="0.2">
      <c r="A436" s="3"/>
      <c r="B436" s="14"/>
      <c r="C436" s="14"/>
      <c r="D436" s="14"/>
      <c r="E436" s="14"/>
      <c r="F436" s="14"/>
      <c r="G436" s="14"/>
      <c r="H436" s="14"/>
      <c r="I436" s="14"/>
      <c r="J436" s="3"/>
      <c r="K436" s="3"/>
      <c r="L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x14ac:dyDescent="0.2">
      <c r="A437" s="3"/>
      <c r="B437" s="14"/>
      <c r="C437" s="14"/>
      <c r="D437" s="14"/>
      <c r="E437" s="14"/>
      <c r="F437" s="14"/>
      <c r="G437" s="14"/>
      <c r="H437" s="14"/>
      <c r="I437" s="14"/>
      <c r="J437" s="3"/>
      <c r="K437" s="3"/>
      <c r="L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x14ac:dyDescent="0.2">
      <c r="A438" s="3"/>
      <c r="B438" s="14"/>
      <c r="C438" s="14"/>
      <c r="D438" s="14"/>
      <c r="E438" s="14"/>
      <c r="F438" s="14"/>
      <c r="G438" s="14"/>
      <c r="H438" s="14"/>
      <c r="I438" s="14"/>
      <c r="J438" s="3"/>
      <c r="K438" s="3"/>
      <c r="L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x14ac:dyDescent="0.2">
      <c r="A439" s="3"/>
      <c r="B439" s="14"/>
      <c r="C439" s="14"/>
      <c r="D439" s="14"/>
      <c r="E439" s="14"/>
      <c r="F439" s="14"/>
      <c r="G439" s="14"/>
      <c r="H439" s="14"/>
      <c r="I439" s="14"/>
      <c r="J439" s="3"/>
      <c r="K439" s="3"/>
      <c r="L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x14ac:dyDescent="0.2">
      <c r="A440" s="3"/>
      <c r="B440" s="14"/>
      <c r="C440" s="14"/>
      <c r="D440" s="14"/>
      <c r="E440" s="14"/>
      <c r="F440" s="14"/>
      <c r="G440" s="14"/>
      <c r="H440" s="14"/>
      <c r="I440" s="14"/>
      <c r="J440" s="3"/>
      <c r="K440" s="3"/>
      <c r="L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x14ac:dyDescent="0.2">
      <c r="A441" s="3"/>
      <c r="B441" s="14"/>
      <c r="C441" s="14"/>
      <c r="D441" s="14"/>
      <c r="E441" s="14"/>
      <c r="F441" s="14"/>
      <c r="G441" s="14"/>
      <c r="H441" s="14"/>
      <c r="I441" s="14"/>
      <c r="J441" s="3"/>
      <c r="K441" s="3"/>
      <c r="L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x14ac:dyDescent="0.2">
      <c r="A442" s="3"/>
      <c r="B442" s="14"/>
      <c r="C442" s="14"/>
      <c r="D442" s="14"/>
      <c r="E442" s="14"/>
      <c r="F442" s="14"/>
      <c r="G442" s="14"/>
      <c r="H442" s="14"/>
      <c r="I442" s="14"/>
      <c r="J442" s="3"/>
      <c r="K442" s="3"/>
      <c r="L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x14ac:dyDescent="0.2">
      <c r="A443" s="3"/>
      <c r="B443" s="14"/>
      <c r="C443" s="14"/>
      <c r="D443" s="14"/>
      <c r="E443" s="14"/>
      <c r="F443" s="14"/>
      <c r="G443" s="14"/>
      <c r="H443" s="14"/>
      <c r="I443" s="14"/>
      <c r="J443" s="3"/>
      <c r="K443" s="3"/>
      <c r="L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x14ac:dyDescent="0.2">
      <c r="A444" s="3"/>
      <c r="B444" s="14"/>
      <c r="C444" s="14"/>
      <c r="D444" s="14"/>
      <c r="E444" s="14"/>
      <c r="F444" s="14"/>
      <c r="G444" s="14"/>
      <c r="H444" s="14"/>
      <c r="I444" s="14"/>
      <c r="J444" s="3"/>
      <c r="K444" s="3"/>
      <c r="L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x14ac:dyDescent="0.2">
      <c r="A445" s="3"/>
      <c r="B445" s="14"/>
      <c r="C445" s="14"/>
      <c r="D445" s="14"/>
      <c r="E445" s="14"/>
      <c r="F445" s="14"/>
      <c r="G445" s="14"/>
      <c r="H445" s="14"/>
      <c r="I445" s="14"/>
      <c r="J445" s="3"/>
      <c r="K445" s="3"/>
      <c r="L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x14ac:dyDescent="0.2">
      <c r="A446" s="3"/>
      <c r="B446" s="14"/>
      <c r="C446" s="14"/>
      <c r="D446" s="14"/>
      <c r="E446" s="14"/>
      <c r="F446" s="14"/>
      <c r="G446" s="14"/>
      <c r="H446" s="14"/>
      <c r="I446" s="14"/>
      <c r="J446" s="3"/>
      <c r="K446" s="3"/>
      <c r="L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x14ac:dyDescent="0.2">
      <c r="A447" s="3"/>
      <c r="B447" s="14"/>
      <c r="C447" s="14"/>
      <c r="D447" s="14"/>
      <c r="E447" s="14"/>
      <c r="F447" s="14"/>
      <c r="G447" s="14"/>
      <c r="H447" s="14"/>
      <c r="I447" s="14"/>
      <c r="J447" s="3"/>
      <c r="K447" s="3"/>
      <c r="L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x14ac:dyDescent="0.2">
      <c r="A448" s="3"/>
      <c r="B448" s="14"/>
      <c r="C448" s="14"/>
      <c r="D448" s="14"/>
      <c r="E448" s="14"/>
      <c r="F448" s="14"/>
      <c r="G448" s="14"/>
      <c r="H448" s="14"/>
      <c r="I448" s="14"/>
      <c r="J448" s="3"/>
      <c r="K448" s="3"/>
      <c r="L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x14ac:dyDescent="0.2">
      <c r="A449" s="3"/>
      <c r="B449" s="14"/>
      <c r="C449" s="14"/>
      <c r="D449" s="14"/>
      <c r="E449" s="14"/>
      <c r="F449" s="14"/>
      <c r="G449" s="14"/>
      <c r="H449" s="14"/>
      <c r="I449" s="14"/>
      <c r="J449" s="3"/>
      <c r="K449" s="3"/>
      <c r="L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x14ac:dyDescent="0.2">
      <c r="A450" s="3"/>
      <c r="B450" s="14"/>
      <c r="C450" s="14"/>
      <c r="D450" s="14"/>
      <c r="E450" s="14"/>
      <c r="F450" s="14"/>
      <c r="G450" s="14"/>
      <c r="H450" s="14"/>
      <c r="I450" s="14"/>
      <c r="J450" s="3"/>
      <c r="K450" s="3"/>
      <c r="L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x14ac:dyDescent="0.2">
      <c r="A451" s="3"/>
      <c r="B451" s="14"/>
      <c r="C451" s="14"/>
      <c r="D451" s="14"/>
      <c r="E451" s="14"/>
      <c r="F451" s="14"/>
      <c r="G451" s="14"/>
      <c r="H451" s="14"/>
      <c r="I451" s="14"/>
      <c r="J451" s="3"/>
      <c r="K451" s="3"/>
      <c r="L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x14ac:dyDescent="0.2">
      <c r="A452" s="3"/>
      <c r="B452" s="14"/>
      <c r="C452" s="14"/>
      <c r="D452" s="14"/>
      <c r="E452" s="14"/>
      <c r="F452" s="14"/>
      <c r="G452" s="14"/>
      <c r="H452" s="14"/>
      <c r="I452" s="14"/>
      <c r="J452" s="3"/>
      <c r="K452" s="3"/>
      <c r="L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x14ac:dyDescent="0.2">
      <c r="A453" s="3"/>
      <c r="B453" s="14"/>
      <c r="C453" s="14"/>
      <c r="D453" s="14"/>
      <c r="E453" s="14"/>
      <c r="F453" s="14"/>
      <c r="G453" s="14"/>
      <c r="H453" s="14"/>
      <c r="I453" s="14"/>
      <c r="J453" s="3"/>
      <c r="K453" s="3"/>
      <c r="L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x14ac:dyDescent="0.2">
      <c r="A454" s="3"/>
      <c r="B454" s="14"/>
      <c r="C454" s="14"/>
      <c r="D454" s="14"/>
      <c r="E454" s="14"/>
      <c r="F454" s="14"/>
      <c r="G454" s="14"/>
      <c r="H454" s="14"/>
      <c r="I454" s="14"/>
      <c r="J454" s="3"/>
      <c r="K454" s="3"/>
      <c r="L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x14ac:dyDescent="0.2">
      <c r="A455" s="3"/>
      <c r="B455" s="14"/>
      <c r="C455" s="14"/>
      <c r="D455" s="14"/>
      <c r="E455" s="14"/>
      <c r="F455" s="14"/>
      <c r="G455" s="14"/>
      <c r="H455" s="14"/>
      <c r="I455" s="14"/>
      <c r="J455" s="3"/>
      <c r="K455" s="3"/>
      <c r="L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x14ac:dyDescent="0.2">
      <c r="A456" s="3"/>
      <c r="B456" s="14"/>
      <c r="C456" s="14"/>
      <c r="D456" s="14"/>
      <c r="E456" s="14"/>
      <c r="F456" s="14"/>
      <c r="G456" s="14"/>
      <c r="H456" s="14"/>
      <c r="I456" s="14"/>
      <c r="J456" s="3"/>
      <c r="K456" s="3"/>
      <c r="L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x14ac:dyDescent="0.2">
      <c r="A457" s="3"/>
      <c r="B457" s="14"/>
      <c r="C457" s="14"/>
      <c r="D457" s="14"/>
      <c r="E457" s="14"/>
      <c r="F457" s="14"/>
      <c r="G457" s="14"/>
      <c r="H457" s="14"/>
      <c r="I457" s="14"/>
      <c r="J457" s="3"/>
      <c r="K457" s="3"/>
      <c r="L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x14ac:dyDescent="0.2">
      <c r="A458" s="3"/>
      <c r="B458" s="14"/>
      <c r="C458" s="14"/>
      <c r="D458" s="14"/>
      <c r="E458" s="14"/>
      <c r="F458" s="14"/>
      <c r="G458" s="14"/>
      <c r="H458" s="14"/>
      <c r="I458" s="14"/>
      <c r="J458" s="3"/>
      <c r="K458" s="3"/>
      <c r="L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x14ac:dyDescent="0.2">
      <c r="A459" s="3"/>
      <c r="B459" s="14"/>
      <c r="C459" s="14"/>
      <c r="D459" s="14"/>
      <c r="E459" s="14"/>
      <c r="F459" s="14"/>
      <c r="G459" s="14"/>
      <c r="H459" s="14"/>
      <c r="I459" s="14"/>
      <c r="J459" s="3"/>
      <c r="K459" s="3"/>
      <c r="L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x14ac:dyDescent="0.2">
      <c r="A460" s="3"/>
      <c r="B460" s="14"/>
      <c r="C460" s="14"/>
      <c r="D460" s="14"/>
      <c r="E460" s="14"/>
      <c r="F460" s="14"/>
      <c r="G460" s="14"/>
      <c r="H460" s="14"/>
      <c r="I460" s="14"/>
      <c r="J460" s="3"/>
      <c r="K460" s="3"/>
      <c r="L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x14ac:dyDescent="0.2">
      <c r="A461" s="3"/>
      <c r="B461" s="14"/>
      <c r="C461" s="14"/>
      <c r="D461" s="14"/>
      <c r="E461" s="14"/>
      <c r="F461" s="14"/>
      <c r="G461" s="14"/>
      <c r="H461" s="14"/>
      <c r="I461" s="14"/>
      <c r="J461" s="3"/>
      <c r="K461" s="3"/>
      <c r="L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x14ac:dyDescent="0.2">
      <c r="A462" s="3"/>
      <c r="B462" s="14"/>
      <c r="C462" s="14"/>
      <c r="D462" s="14"/>
      <c r="E462" s="14"/>
      <c r="F462" s="14"/>
      <c r="G462" s="14"/>
      <c r="H462" s="14"/>
      <c r="I462" s="14"/>
      <c r="J462" s="3"/>
      <c r="K462" s="3"/>
      <c r="L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x14ac:dyDescent="0.2">
      <c r="A463" s="3"/>
      <c r="B463" s="14"/>
      <c r="C463" s="14"/>
      <c r="D463" s="14"/>
      <c r="E463" s="14"/>
      <c r="F463" s="14"/>
      <c r="G463" s="14"/>
      <c r="H463" s="14"/>
      <c r="I463" s="14"/>
      <c r="J463" s="3"/>
      <c r="K463" s="3"/>
      <c r="L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x14ac:dyDescent="0.2">
      <c r="A464" s="3"/>
      <c r="B464" s="14"/>
      <c r="C464" s="14"/>
      <c r="D464" s="14"/>
      <c r="E464" s="14"/>
      <c r="F464" s="14"/>
      <c r="G464" s="14"/>
      <c r="H464" s="14"/>
      <c r="I464" s="14"/>
      <c r="J464" s="3"/>
      <c r="K464" s="3"/>
      <c r="L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x14ac:dyDescent="0.2">
      <c r="A465" s="3"/>
      <c r="B465" s="14"/>
      <c r="C465" s="14"/>
      <c r="D465" s="14"/>
      <c r="E465" s="14"/>
      <c r="F465" s="14"/>
      <c r="G465" s="14"/>
      <c r="H465" s="14"/>
      <c r="I465" s="14"/>
      <c r="J465" s="3"/>
      <c r="K465" s="3"/>
      <c r="L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x14ac:dyDescent="0.2">
      <c r="A466" s="3"/>
      <c r="B466" s="14"/>
      <c r="C466" s="14"/>
      <c r="D466" s="14"/>
      <c r="E466" s="14"/>
      <c r="F466" s="14"/>
      <c r="G466" s="14"/>
      <c r="H466" s="14"/>
      <c r="I466" s="14"/>
      <c r="J466" s="3"/>
      <c r="K466" s="3"/>
      <c r="L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x14ac:dyDescent="0.2">
      <c r="A467" s="3"/>
      <c r="B467" s="14"/>
      <c r="C467" s="14"/>
      <c r="D467" s="14"/>
      <c r="E467" s="14"/>
      <c r="F467" s="14"/>
      <c r="G467" s="14"/>
      <c r="H467" s="14"/>
      <c r="I467" s="14"/>
      <c r="J467" s="3"/>
      <c r="K467" s="3"/>
      <c r="L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x14ac:dyDescent="0.2">
      <c r="A468" s="3"/>
      <c r="B468" s="14"/>
      <c r="C468" s="14"/>
      <c r="D468" s="14"/>
      <c r="E468" s="14"/>
      <c r="F468" s="14"/>
      <c r="G468" s="14"/>
      <c r="H468" s="14"/>
      <c r="I468" s="14"/>
      <c r="J468" s="3"/>
      <c r="K468" s="3"/>
      <c r="L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x14ac:dyDescent="0.2">
      <c r="A469" s="3"/>
      <c r="B469" s="14"/>
      <c r="C469" s="14"/>
      <c r="D469" s="14"/>
      <c r="E469" s="14"/>
      <c r="F469" s="14"/>
      <c r="G469" s="14"/>
      <c r="H469" s="14"/>
      <c r="I469" s="14"/>
      <c r="J469" s="3"/>
      <c r="K469" s="3"/>
      <c r="L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x14ac:dyDescent="0.2">
      <c r="A470" s="3"/>
      <c r="B470" s="14"/>
      <c r="C470" s="14"/>
      <c r="D470" s="14"/>
      <c r="E470" s="14"/>
      <c r="F470" s="14"/>
      <c r="G470" s="14"/>
      <c r="H470" s="14"/>
      <c r="I470" s="14"/>
      <c r="J470" s="3"/>
      <c r="K470" s="3"/>
      <c r="L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x14ac:dyDescent="0.2">
      <c r="A471" s="3"/>
      <c r="B471" s="14"/>
      <c r="C471" s="14"/>
      <c r="D471" s="14"/>
      <c r="E471" s="14"/>
      <c r="F471" s="14"/>
      <c r="G471" s="14"/>
      <c r="H471" s="14"/>
      <c r="I471" s="14"/>
      <c r="J471" s="3"/>
      <c r="K471" s="3"/>
      <c r="L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x14ac:dyDescent="0.2">
      <c r="A472" s="3"/>
      <c r="B472" s="14"/>
      <c r="C472" s="14"/>
      <c r="D472" s="14"/>
      <c r="E472" s="14"/>
      <c r="F472" s="14"/>
      <c r="G472" s="14"/>
      <c r="H472" s="14"/>
      <c r="I472" s="14"/>
      <c r="J472" s="3"/>
      <c r="K472" s="3"/>
      <c r="L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x14ac:dyDescent="0.2">
      <c r="A473" s="3"/>
      <c r="B473" s="14"/>
      <c r="C473" s="14"/>
      <c r="D473" s="14"/>
      <c r="E473" s="14"/>
      <c r="F473" s="14"/>
      <c r="G473" s="14"/>
      <c r="H473" s="14"/>
      <c r="I473" s="14"/>
      <c r="J473" s="3"/>
      <c r="K473" s="3"/>
      <c r="L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x14ac:dyDescent="0.2">
      <c r="A474" s="3"/>
      <c r="B474" s="14"/>
      <c r="C474" s="14"/>
      <c r="D474" s="14"/>
      <c r="E474" s="14"/>
      <c r="F474" s="14"/>
      <c r="G474" s="14"/>
      <c r="H474" s="14"/>
      <c r="I474" s="14"/>
      <c r="J474" s="3"/>
      <c r="K474" s="3"/>
      <c r="L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x14ac:dyDescent="0.2">
      <c r="A475" s="3"/>
      <c r="B475" s="14"/>
      <c r="C475" s="14"/>
      <c r="D475" s="14"/>
      <c r="E475" s="14"/>
      <c r="F475" s="14"/>
      <c r="G475" s="14"/>
      <c r="H475" s="14"/>
      <c r="I475" s="14"/>
      <c r="J475" s="3"/>
      <c r="K475" s="3"/>
      <c r="L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x14ac:dyDescent="0.2">
      <c r="A476" s="3"/>
      <c r="B476" s="14"/>
      <c r="C476" s="14"/>
      <c r="D476" s="14"/>
      <c r="E476" s="14"/>
      <c r="F476" s="14"/>
      <c r="G476" s="14"/>
      <c r="H476" s="14"/>
      <c r="I476" s="14"/>
      <c r="J476" s="3"/>
      <c r="K476" s="3"/>
      <c r="L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x14ac:dyDescent="0.2">
      <c r="A477" s="3"/>
      <c r="B477" s="14"/>
      <c r="C477" s="14"/>
      <c r="D477" s="14"/>
      <c r="E477" s="14"/>
      <c r="F477" s="14"/>
      <c r="G477" s="14"/>
      <c r="H477" s="14"/>
      <c r="I477" s="14"/>
      <c r="J477" s="3"/>
      <c r="K477" s="3"/>
      <c r="L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x14ac:dyDescent="0.2">
      <c r="A478" s="3"/>
      <c r="B478" s="14"/>
      <c r="C478" s="14"/>
      <c r="D478" s="14"/>
      <c r="E478" s="14"/>
      <c r="F478" s="14"/>
      <c r="G478" s="14"/>
      <c r="H478" s="14"/>
      <c r="I478" s="14"/>
      <c r="J478" s="3"/>
      <c r="K478" s="3"/>
      <c r="L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x14ac:dyDescent="0.2">
      <c r="A479" s="3"/>
      <c r="B479" s="14"/>
      <c r="C479" s="14"/>
      <c r="D479" s="14"/>
      <c r="E479" s="14"/>
      <c r="F479" s="14"/>
      <c r="G479" s="14"/>
      <c r="H479" s="14"/>
      <c r="I479" s="14"/>
      <c r="J479" s="3"/>
      <c r="K479" s="3"/>
      <c r="L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x14ac:dyDescent="0.2">
      <c r="A480" s="3"/>
      <c r="B480" s="14"/>
      <c r="C480" s="14"/>
      <c r="D480" s="14"/>
      <c r="E480" s="14"/>
      <c r="F480" s="14"/>
      <c r="G480" s="14"/>
      <c r="H480" s="14"/>
      <c r="I480" s="14"/>
      <c r="J480" s="3"/>
      <c r="K480" s="3"/>
      <c r="L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x14ac:dyDescent="0.2">
      <c r="A481" s="3"/>
      <c r="B481" s="14"/>
      <c r="C481" s="14"/>
      <c r="D481" s="14"/>
      <c r="E481" s="14"/>
      <c r="F481" s="14"/>
      <c r="G481" s="14"/>
      <c r="H481" s="14"/>
      <c r="I481" s="14"/>
      <c r="J481" s="3"/>
      <c r="K481" s="3"/>
      <c r="L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x14ac:dyDescent="0.2">
      <c r="A482" s="3"/>
      <c r="B482" s="14"/>
      <c r="C482" s="14"/>
      <c r="D482" s="14"/>
      <c r="E482" s="14"/>
      <c r="F482" s="14"/>
      <c r="G482" s="14"/>
      <c r="H482" s="14"/>
      <c r="I482" s="14"/>
      <c r="J482" s="3"/>
      <c r="K482" s="3"/>
      <c r="L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x14ac:dyDescent="0.2">
      <c r="A483" s="3"/>
      <c r="B483" s="14"/>
      <c r="C483" s="14"/>
      <c r="D483" s="14"/>
      <c r="E483" s="14"/>
      <c r="F483" s="14"/>
      <c r="G483" s="14"/>
      <c r="H483" s="14"/>
      <c r="I483" s="14"/>
      <c r="J483" s="3"/>
      <c r="K483" s="3"/>
      <c r="L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x14ac:dyDescent="0.2">
      <c r="A484" s="3"/>
      <c r="B484" s="14"/>
      <c r="C484" s="14"/>
      <c r="D484" s="14"/>
      <c r="E484" s="14"/>
      <c r="F484" s="14"/>
      <c r="G484" s="14"/>
      <c r="H484" s="14"/>
      <c r="I484" s="14"/>
      <c r="J484" s="3"/>
      <c r="K484" s="3"/>
      <c r="L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x14ac:dyDescent="0.2">
      <c r="A485" s="3"/>
      <c r="B485" s="14"/>
      <c r="C485" s="14"/>
      <c r="D485" s="14"/>
      <c r="E485" s="14"/>
      <c r="F485" s="14"/>
      <c r="G485" s="14"/>
      <c r="H485" s="14"/>
      <c r="I485" s="14"/>
      <c r="J485" s="3"/>
      <c r="K485" s="3"/>
      <c r="L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x14ac:dyDescent="0.2">
      <c r="A486" s="3"/>
      <c r="B486" s="14"/>
      <c r="C486" s="14"/>
      <c r="D486" s="14"/>
      <c r="E486" s="14"/>
      <c r="F486" s="14"/>
      <c r="G486" s="14"/>
      <c r="H486" s="14"/>
      <c r="I486" s="14"/>
      <c r="J486" s="3"/>
      <c r="K486" s="3"/>
      <c r="L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x14ac:dyDescent="0.2">
      <c r="A487" s="3"/>
      <c r="B487" s="14"/>
      <c r="C487" s="14"/>
      <c r="D487" s="14"/>
      <c r="E487" s="14"/>
      <c r="F487" s="14"/>
      <c r="G487" s="14"/>
      <c r="H487" s="14"/>
      <c r="I487" s="14"/>
      <c r="J487" s="3"/>
      <c r="K487" s="3"/>
      <c r="L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x14ac:dyDescent="0.2">
      <c r="A488" s="3"/>
      <c r="B488" s="14"/>
      <c r="C488" s="14"/>
      <c r="D488" s="14"/>
      <c r="E488" s="14"/>
      <c r="F488" s="14"/>
      <c r="G488" s="14"/>
      <c r="H488" s="14"/>
      <c r="I488" s="14"/>
      <c r="J488" s="3"/>
      <c r="K488" s="3"/>
      <c r="L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x14ac:dyDescent="0.2">
      <c r="A489" s="3"/>
      <c r="B489" s="14"/>
      <c r="C489" s="14"/>
      <c r="D489" s="14"/>
      <c r="E489" s="14"/>
      <c r="F489" s="14"/>
      <c r="G489" s="14"/>
      <c r="H489" s="14"/>
      <c r="I489" s="14"/>
      <c r="J489" s="3"/>
      <c r="K489" s="3"/>
      <c r="L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x14ac:dyDescent="0.2">
      <c r="A490" s="3"/>
      <c r="B490" s="14"/>
      <c r="C490" s="14"/>
      <c r="D490" s="14"/>
      <c r="E490" s="14"/>
      <c r="F490" s="14"/>
      <c r="G490" s="14"/>
      <c r="H490" s="14"/>
      <c r="I490" s="14"/>
      <c r="J490" s="3"/>
      <c r="K490" s="3"/>
      <c r="L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x14ac:dyDescent="0.2">
      <c r="A491" s="3"/>
      <c r="B491" s="14"/>
      <c r="C491" s="14"/>
      <c r="D491" s="14"/>
      <c r="E491" s="14"/>
      <c r="F491" s="14"/>
      <c r="G491" s="14"/>
      <c r="H491" s="14"/>
      <c r="I491" s="14"/>
      <c r="J491" s="3"/>
      <c r="K491" s="3"/>
      <c r="L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x14ac:dyDescent="0.2">
      <c r="A492" s="3"/>
      <c r="B492" s="14"/>
      <c r="C492" s="14"/>
      <c r="D492" s="14"/>
      <c r="E492" s="14"/>
      <c r="F492" s="14"/>
      <c r="G492" s="14"/>
      <c r="H492" s="14"/>
      <c r="I492" s="14"/>
      <c r="J492" s="3"/>
      <c r="K492" s="3"/>
      <c r="L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x14ac:dyDescent="0.2">
      <c r="A493" s="3"/>
      <c r="B493" s="14"/>
      <c r="C493" s="14"/>
      <c r="D493" s="14"/>
      <c r="E493" s="14"/>
      <c r="F493" s="14"/>
      <c r="G493" s="14"/>
      <c r="H493" s="14"/>
      <c r="I493" s="14"/>
      <c r="J493" s="3"/>
      <c r="K493" s="3"/>
      <c r="L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x14ac:dyDescent="0.2">
      <c r="A494" s="3"/>
      <c r="B494" s="14"/>
      <c r="C494" s="14"/>
      <c r="D494" s="14"/>
      <c r="E494" s="14"/>
      <c r="F494" s="14"/>
      <c r="G494" s="14"/>
      <c r="H494" s="14"/>
      <c r="I494" s="14"/>
      <c r="J494" s="3"/>
      <c r="K494" s="3"/>
      <c r="L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x14ac:dyDescent="0.2">
      <c r="A495" s="3"/>
      <c r="B495" s="14"/>
      <c r="C495" s="14"/>
      <c r="D495" s="14"/>
      <c r="E495" s="14"/>
      <c r="F495" s="14"/>
      <c r="G495" s="14"/>
      <c r="H495" s="14"/>
      <c r="I495" s="14"/>
      <c r="J495" s="3"/>
      <c r="K495" s="3"/>
      <c r="L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x14ac:dyDescent="0.2">
      <c r="A496" s="3"/>
      <c r="B496" s="14"/>
      <c r="C496" s="14"/>
      <c r="D496" s="14"/>
      <c r="E496" s="14"/>
      <c r="F496" s="14"/>
      <c r="G496" s="14"/>
      <c r="H496" s="14"/>
      <c r="I496" s="14"/>
      <c r="J496" s="3"/>
      <c r="K496" s="3"/>
      <c r="L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x14ac:dyDescent="0.2">
      <c r="A497" s="3"/>
      <c r="B497" s="14"/>
      <c r="C497" s="14"/>
      <c r="D497" s="14"/>
      <c r="E497" s="14"/>
      <c r="F497" s="14"/>
      <c r="G497" s="14"/>
      <c r="H497" s="14"/>
      <c r="I497" s="14"/>
      <c r="J497" s="3"/>
      <c r="K497" s="3"/>
      <c r="L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x14ac:dyDescent="0.2">
      <c r="A498" s="3"/>
      <c r="B498" s="14"/>
      <c r="C498" s="14"/>
      <c r="D498" s="14"/>
      <c r="E498" s="14"/>
      <c r="F498" s="14"/>
      <c r="G498" s="14"/>
      <c r="H498" s="14"/>
      <c r="I498" s="14"/>
      <c r="J498" s="3"/>
      <c r="K498" s="3"/>
      <c r="L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x14ac:dyDescent="0.2">
      <c r="A499" s="3"/>
      <c r="B499" s="14"/>
      <c r="C499" s="14"/>
      <c r="D499" s="14"/>
      <c r="E499" s="14"/>
      <c r="F499" s="14"/>
      <c r="G499" s="14"/>
      <c r="H499" s="14"/>
      <c r="I499" s="14"/>
      <c r="J499" s="3"/>
      <c r="K499" s="3"/>
      <c r="L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x14ac:dyDescent="0.2">
      <c r="A500" s="3"/>
      <c r="B500" s="14"/>
      <c r="C500" s="14"/>
      <c r="D500" s="14"/>
      <c r="E500" s="14"/>
      <c r="F500" s="14"/>
      <c r="G500" s="14"/>
      <c r="H500" s="14"/>
      <c r="I500" s="14"/>
      <c r="J500" s="3"/>
      <c r="K500" s="3"/>
      <c r="L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x14ac:dyDescent="0.2">
      <c r="A501" s="3"/>
      <c r="B501" s="14"/>
      <c r="C501" s="14"/>
      <c r="D501" s="14"/>
      <c r="E501" s="14"/>
      <c r="F501" s="14"/>
      <c r="G501" s="14"/>
      <c r="H501" s="14"/>
      <c r="I501" s="14"/>
      <c r="J501" s="3"/>
      <c r="K501" s="3"/>
      <c r="L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x14ac:dyDescent="0.2">
      <c r="A502" s="3"/>
      <c r="B502" s="14"/>
      <c r="C502" s="14"/>
      <c r="D502" s="14"/>
      <c r="E502" s="14"/>
      <c r="F502" s="14"/>
      <c r="G502" s="14"/>
      <c r="H502" s="14"/>
      <c r="I502" s="14"/>
      <c r="J502" s="3"/>
      <c r="K502" s="3"/>
      <c r="L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x14ac:dyDescent="0.2">
      <c r="A503" s="3"/>
      <c r="B503" s="14"/>
      <c r="C503" s="14"/>
      <c r="D503" s="14"/>
      <c r="E503" s="14"/>
      <c r="F503" s="14"/>
      <c r="G503" s="14"/>
      <c r="H503" s="14"/>
      <c r="I503" s="14"/>
      <c r="J503" s="3"/>
      <c r="K503" s="3"/>
      <c r="L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x14ac:dyDescent="0.2">
      <c r="A504" s="3"/>
      <c r="B504" s="14"/>
      <c r="C504" s="14"/>
      <c r="D504" s="14"/>
      <c r="E504" s="14"/>
      <c r="F504" s="14"/>
      <c r="G504" s="14"/>
      <c r="H504" s="14"/>
      <c r="I504" s="14"/>
      <c r="J504" s="3"/>
      <c r="K504" s="3"/>
      <c r="L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x14ac:dyDescent="0.2">
      <c r="A505" s="3"/>
      <c r="B505" s="14"/>
      <c r="C505" s="14"/>
      <c r="D505" s="14"/>
      <c r="E505" s="14"/>
      <c r="F505" s="14"/>
      <c r="G505" s="14"/>
      <c r="H505" s="14"/>
      <c r="I505" s="14"/>
      <c r="J505" s="3"/>
      <c r="K505" s="3"/>
      <c r="L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x14ac:dyDescent="0.2">
      <c r="A506" s="3"/>
      <c r="B506" s="14"/>
      <c r="C506" s="14"/>
      <c r="D506" s="14"/>
      <c r="E506" s="14"/>
      <c r="F506" s="14"/>
      <c r="G506" s="14"/>
      <c r="H506" s="14"/>
      <c r="I506" s="14"/>
      <c r="J506" s="3"/>
      <c r="K506" s="3"/>
      <c r="L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x14ac:dyDescent="0.2">
      <c r="A507" s="3"/>
      <c r="B507" s="14"/>
      <c r="C507" s="14"/>
      <c r="D507" s="14"/>
      <c r="E507" s="14"/>
      <c r="F507" s="14"/>
      <c r="G507" s="14"/>
      <c r="H507" s="14"/>
      <c r="I507" s="14"/>
      <c r="J507" s="3"/>
      <c r="K507" s="3"/>
      <c r="L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x14ac:dyDescent="0.2">
      <c r="A508" s="3"/>
      <c r="B508" s="14"/>
      <c r="C508" s="14"/>
      <c r="D508" s="14"/>
      <c r="E508" s="14"/>
      <c r="F508" s="14"/>
      <c r="G508" s="14"/>
      <c r="H508" s="14"/>
      <c r="I508" s="14"/>
      <c r="J508" s="3"/>
      <c r="K508" s="3"/>
      <c r="L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x14ac:dyDescent="0.2">
      <c r="A509" s="3"/>
      <c r="B509" s="14"/>
      <c r="C509" s="14"/>
      <c r="D509" s="14"/>
      <c r="E509" s="14"/>
      <c r="F509" s="14"/>
      <c r="G509" s="14"/>
      <c r="H509" s="14"/>
      <c r="I509" s="14"/>
      <c r="J509" s="3"/>
      <c r="K509" s="3"/>
      <c r="L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x14ac:dyDescent="0.2">
      <c r="A510" s="3"/>
      <c r="B510" s="14"/>
      <c r="C510" s="14"/>
      <c r="D510" s="14"/>
      <c r="E510" s="14"/>
      <c r="F510" s="14"/>
      <c r="G510" s="14"/>
      <c r="H510" s="14"/>
      <c r="I510" s="14"/>
      <c r="J510" s="3"/>
      <c r="K510" s="3"/>
      <c r="L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x14ac:dyDescent="0.2">
      <c r="A511" s="3"/>
      <c r="B511" s="14"/>
      <c r="C511" s="14"/>
      <c r="D511" s="14"/>
      <c r="E511" s="14"/>
      <c r="F511" s="14"/>
      <c r="G511" s="14"/>
      <c r="H511" s="14"/>
      <c r="I511" s="14"/>
      <c r="J511" s="3"/>
      <c r="K511" s="3"/>
      <c r="L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x14ac:dyDescent="0.2">
      <c r="A512" s="3"/>
      <c r="B512" s="14"/>
      <c r="C512" s="14"/>
      <c r="D512" s="14"/>
      <c r="E512" s="14"/>
      <c r="F512" s="14"/>
      <c r="G512" s="14"/>
      <c r="H512" s="14"/>
      <c r="I512" s="14"/>
      <c r="J512" s="3"/>
      <c r="K512" s="3"/>
      <c r="L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x14ac:dyDescent="0.2">
      <c r="A513" s="3"/>
      <c r="B513" s="14"/>
      <c r="C513" s="14"/>
      <c r="D513" s="14"/>
      <c r="E513" s="14"/>
      <c r="F513" s="14"/>
      <c r="G513" s="14"/>
      <c r="H513" s="14"/>
      <c r="I513" s="14"/>
      <c r="J513" s="3"/>
      <c r="K513" s="3"/>
      <c r="L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x14ac:dyDescent="0.2">
      <c r="A514" s="3"/>
      <c r="B514" s="14"/>
      <c r="C514" s="14"/>
      <c r="D514" s="14"/>
      <c r="E514" s="14"/>
      <c r="F514" s="14"/>
      <c r="G514" s="14"/>
      <c r="H514" s="14"/>
      <c r="I514" s="14"/>
      <c r="J514" s="3"/>
      <c r="K514" s="3"/>
      <c r="L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x14ac:dyDescent="0.2">
      <c r="A515" s="3"/>
      <c r="B515" s="14"/>
      <c r="C515" s="14"/>
      <c r="D515" s="14"/>
      <c r="E515" s="14"/>
      <c r="F515" s="14"/>
      <c r="G515" s="14"/>
      <c r="H515" s="14"/>
      <c r="I515" s="14"/>
      <c r="J515" s="3"/>
      <c r="K515" s="3"/>
      <c r="L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x14ac:dyDescent="0.2">
      <c r="A516" s="3"/>
      <c r="B516" s="14"/>
      <c r="C516" s="14"/>
      <c r="D516" s="14"/>
      <c r="E516" s="14"/>
      <c r="F516" s="14"/>
      <c r="G516" s="14"/>
      <c r="H516" s="14"/>
      <c r="I516" s="14"/>
      <c r="J516" s="3"/>
      <c r="K516" s="3"/>
      <c r="L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x14ac:dyDescent="0.2">
      <c r="A517" s="3"/>
      <c r="B517" s="14"/>
      <c r="C517" s="14"/>
      <c r="D517" s="14"/>
      <c r="E517" s="14"/>
      <c r="F517" s="14"/>
      <c r="G517" s="14"/>
      <c r="H517" s="14"/>
      <c r="I517" s="14"/>
      <c r="J517" s="3"/>
      <c r="K517" s="3"/>
      <c r="L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x14ac:dyDescent="0.2">
      <c r="A518" s="3"/>
      <c r="B518" s="14"/>
      <c r="C518" s="14"/>
      <c r="D518" s="14"/>
      <c r="E518" s="14"/>
      <c r="F518" s="14"/>
      <c r="G518" s="14"/>
      <c r="H518" s="14"/>
      <c r="I518" s="14"/>
      <c r="J518" s="3"/>
      <c r="K518" s="3"/>
      <c r="L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x14ac:dyDescent="0.2">
      <c r="A519" s="3"/>
      <c r="B519" s="14"/>
      <c r="C519" s="14"/>
      <c r="D519" s="14"/>
      <c r="E519" s="14"/>
      <c r="F519" s="14"/>
      <c r="G519" s="14"/>
      <c r="H519" s="14"/>
      <c r="I519" s="14"/>
      <c r="J519" s="3"/>
      <c r="K519" s="3"/>
      <c r="L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x14ac:dyDescent="0.2">
      <c r="A520" s="3"/>
      <c r="B520" s="14"/>
      <c r="C520" s="14"/>
      <c r="D520" s="14"/>
      <c r="E520" s="14"/>
      <c r="F520" s="14"/>
      <c r="G520" s="14"/>
      <c r="H520" s="14"/>
      <c r="I520" s="14"/>
      <c r="J520" s="3"/>
      <c r="K520" s="3"/>
      <c r="L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x14ac:dyDescent="0.2">
      <c r="A521" s="3"/>
      <c r="B521" s="14"/>
      <c r="C521" s="14"/>
      <c r="D521" s="14"/>
      <c r="E521" s="14"/>
      <c r="F521" s="14"/>
      <c r="G521" s="14"/>
      <c r="H521" s="14"/>
      <c r="I521" s="14"/>
      <c r="J521" s="3"/>
      <c r="K521" s="3"/>
      <c r="L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x14ac:dyDescent="0.2">
      <c r="A522" s="3"/>
      <c r="B522" s="14"/>
      <c r="C522" s="14"/>
      <c r="D522" s="14"/>
      <c r="E522" s="14"/>
      <c r="F522" s="14"/>
      <c r="G522" s="14"/>
      <c r="H522" s="14"/>
      <c r="I522" s="14"/>
      <c r="J522" s="3"/>
      <c r="K522" s="3"/>
      <c r="L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x14ac:dyDescent="0.2">
      <c r="A523" s="3"/>
      <c r="B523" s="14"/>
      <c r="C523" s="14"/>
      <c r="D523" s="14"/>
      <c r="E523" s="14"/>
      <c r="F523" s="14"/>
      <c r="G523" s="14"/>
      <c r="H523" s="14"/>
      <c r="I523" s="14"/>
      <c r="J523" s="3"/>
      <c r="K523" s="3"/>
      <c r="L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x14ac:dyDescent="0.2">
      <c r="A524" s="3"/>
      <c r="B524" s="14"/>
      <c r="C524" s="14"/>
      <c r="D524" s="14"/>
      <c r="E524" s="14"/>
      <c r="F524" s="14"/>
      <c r="G524" s="14"/>
      <c r="H524" s="14"/>
      <c r="I524" s="14"/>
      <c r="J524" s="3"/>
      <c r="K524" s="3"/>
      <c r="L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x14ac:dyDescent="0.2">
      <c r="A525" s="3"/>
      <c r="B525" s="14"/>
      <c r="C525" s="14"/>
      <c r="D525" s="14"/>
      <c r="E525" s="14"/>
      <c r="F525" s="14"/>
      <c r="G525" s="14"/>
      <c r="H525" s="14"/>
      <c r="I525" s="14"/>
      <c r="J525" s="3"/>
      <c r="K525" s="3"/>
      <c r="L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x14ac:dyDescent="0.2">
      <c r="A526" s="3"/>
      <c r="B526" s="14"/>
      <c r="C526" s="14"/>
      <c r="D526" s="14"/>
      <c r="E526" s="14"/>
      <c r="F526" s="14"/>
      <c r="G526" s="14"/>
      <c r="H526" s="14"/>
      <c r="I526" s="14"/>
      <c r="J526" s="3"/>
      <c r="K526" s="3"/>
      <c r="L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x14ac:dyDescent="0.2">
      <c r="A527" s="3"/>
      <c r="B527" s="14"/>
      <c r="C527" s="14"/>
      <c r="D527" s="14"/>
      <c r="E527" s="14"/>
      <c r="F527" s="14"/>
      <c r="G527" s="14"/>
      <c r="H527" s="14"/>
      <c r="I527" s="14"/>
      <c r="J527" s="3"/>
      <c r="K527" s="3"/>
      <c r="L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x14ac:dyDescent="0.2">
      <c r="A528" s="3"/>
      <c r="B528" s="14"/>
      <c r="C528" s="14"/>
      <c r="D528" s="14"/>
      <c r="E528" s="14"/>
      <c r="F528" s="14"/>
      <c r="G528" s="14"/>
      <c r="H528" s="14"/>
      <c r="I528" s="14"/>
      <c r="J528" s="3"/>
      <c r="K528" s="3"/>
      <c r="L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x14ac:dyDescent="0.2">
      <c r="A529" s="3"/>
      <c r="B529" s="14"/>
      <c r="C529" s="14"/>
      <c r="D529" s="14"/>
      <c r="E529" s="14"/>
      <c r="F529" s="14"/>
      <c r="G529" s="14"/>
      <c r="H529" s="14"/>
      <c r="I529" s="14"/>
      <c r="J529" s="3"/>
      <c r="K529" s="3"/>
      <c r="L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x14ac:dyDescent="0.2">
      <c r="A530" s="3"/>
      <c r="B530" s="14"/>
      <c r="C530" s="14"/>
      <c r="D530" s="14"/>
      <c r="E530" s="14"/>
      <c r="F530" s="14"/>
      <c r="G530" s="14"/>
      <c r="H530" s="14"/>
      <c r="I530" s="14"/>
      <c r="J530" s="3"/>
      <c r="K530" s="3"/>
      <c r="L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x14ac:dyDescent="0.2">
      <c r="A531" s="3"/>
      <c r="B531" s="14"/>
      <c r="C531" s="14"/>
      <c r="D531" s="14"/>
      <c r="E531" s="14"/>
      <c r="F531" s="14"/>
      <c r="G531" s="14"/>
      <c r="H531" s="14"/>
      <c r="I531" s="14"/>
      <c r="J531" s="3"/>
      <c r="K531" s="3"/>
      <c r="L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x14ac:dyDescent="0.2">
      <c r="A532" s="3"/>
      <c r="B532" s="14"/>
      <c r="C532" s="14"/>
      <c r="D532" s="14"/>
      <c r="E532" s="14"/>
      <c r="F532" s="14"/>
      <c r="G532" s="14"/>
      <c r="H532" s="14"/>
      <c r="I532" s="14"/>
      <c r="J532" s="3"/>
      <c r="K532" s="3"/>
      <c r="L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x14ac:dyDescent="0.2">
      <c r="A533" s="3"/>
      <c r="B533" s="14"/>
      <c r="C533" s="14"/>
      <c r="D533" s="14"/>
      <c r="E533" s="14"/>
      <c r="F533" s="14"/>
      <c r="G533" s="14"/>
      <c r="H533" s="14"/>
      <c r="I533" s="14"/>
      <c r="J533" s="3"/>
      <c r="K533" s="3"/>
      <c r="L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x14ac:dyDescent="0.2">
      <c r="A534" s="3"/>
      <c r="B534" s="14"/>
      <c r="C534" s="14"/>
      <c r="D534" s="14"/>
      <c r="E534" s="14"/>
      <c r="F534" s="14"/>
      <c r="G534" s="14"/>
      <c r="H534" s="14"/>
      <c r="I534" s="14"/>
      <c r="J534" s="3"/>
      <c r="K534" s="3"/>
      <c r="L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x14ac:dyDescent="0.2">
      <c r="A535" s="3"/>
      <c r="B535" s="14"/>
      <c r="C535" s="14"/>
      <c r="D535" s="14"/>
      <c r="E535" s="14"/>
      <c r="F535" s="14"/>
      <c r="G535" s="14"/>
      <c r="H535" s="14"/>
      <c r="I535" s="14"/>
      <c r="J535" s="3"/>
      <c r="K535" s="3"/>
      <c r="L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x14ac:dyDescent="0.2">
      <c r="A536" s="3"/>
      <c r="B536" s="14"/>
      <c r="C536" s="14"/>
      <c r="D536" s="14"/>
      <c r="E536" s="14"/>
      <c r="F536" s="14"/>
      <c r="G536" s="14"/>
      <c r="H536" s="14"/>
      <c r="I536" s="14"/>
      <c r="J536" s="3"/>
      <c r="K536" s="3"/>
      <c r="L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x14ac:dyDescent="0.2">
      <c r="A537" s="3"/>
      <c r="B537" s="14"/>
      <c r="C537" s="14"/>
      <c r="D537" s="14"/>
      <c r="E537" s="14"/>
      <c r="F537" s="14"/>
      <c r="G537" s="14"/>
      <c r="H537" s="14"/>
      <c r="I537" s="14"/>
      <c r="J537" s="3"/>
      <c r="K537" s="3"/>
      <c r="L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x14ac:dyDescent="0.2">
      <c r="A538" s="3"/>
      <c r="B538" s="14"/>
      <c r="C538" s="14"/>
      <c r="D538" s="14"/>
      <c r="E538" s="14"/>
      <c r="F538" s="14"/>
      <c r="G538" s="14"/>
      <c r="H538" s="14"/>
      <c r="I538" s="14"/>
      <c r="J538" s="3"/>
      <c r="K538" s="3"/>
      <c r="L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x14ac:dyDescent="0.2">
      <c r="A539" s="3"/>
      <c r="B539" s="14"/>
      <c r="C539" s="14"/>
      <c r="D539" s="14"/>
      <c r="E539" s="14"/>
      <c r="F539" s="14"/>
      <c r="G539" s="14"/>
      <c r="H539" s="14"/>
      <c r="I539" s="14"/>
      <c r="J539" s="3"/>
      <c r="K539" s="3"/>
      <c r="L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x14ac:dyDescent="0.2">
      <c r="A540" s="3"/>
      <c r="B540" s="14"/>
      <c r="C540" s="14"/>
      <c r="D540" s="14"/>
      <c r="E540" s="14"/>
      <c r="F540" s="14"/>
      <c r="G540" s="14"/>
      <c r="H540" s="14"/>
      <c r="I540" s="14"/>
      <c r="J540" s="3"/>
      <c r="K540" s="3"/>
      <c r="L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x14ac:dyDescent="0.2">
      <c r="A541" s="3"/>
      <c r="B541" s="14"/>
      <c r="C541" s="14"/>
      <c r="D541" s="14"/>
      <c r="E541" s="14"/>
      <c r="F541" s="14"/>
      <c r="G541" s="14"/>
      <c r="H541" s="14"/>
      <c r="I541" s="14"/>
      <c r="J541" s="3"/>
      <c r="K541" s="3"/>
      <c r="L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x14ac:dyDescent="0.2">
      <c r="A542" s="3"/>
      <c r="B542" s="14"/>
      <c r="C542" s="14"/>
      <c r="D542" s="14"/>
      <c r="E542" s="14"/>
      <c r="F542" s="14"/>
      <c r="G542" s="14"/>
      <c r="H542" s="14"/>
      <c r="I542" s="14"/>
      <c r="J542" s="3"/>
      <c r="K542" s="3"/>
      <c r="L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x14ac:dyDescent="0.2">
      <c r="A543" s="3"/>
      <c r="B543" s="14"/>
      <c r="C543" s="14"/>
      <c r="D543" s="14"/>
      <c r="E543" s="14"/>
      <c r="F543" s="14"/>
      <c r="G543" s="14"/>
      <c r="H543" s="14"/>
      <c r="I543" s="14"/>
      <c r="J543" s="3"/>
      <c r="K543" s="3"/>
      <c r="L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x14ac:dyDescent="0.2">
      <c r="A544" s="3"/>
      <c r="B544" s="14"/>
      <c r="C544" s="14"/>
      <c r="D544" s="14"/>
      <c r="E544" s="14"/>
      <c r="F544" s="14"/>
      <c r="G544" s="14"/>
      <c r="H544" s="14"/>
      <c r="I544" s="14"/>
      <c r="J544" s="3"/>
      <c r="K544" s="3"/>
      <c r="L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x14ac:dyDescent="0.2">
      <c r="A545" s="3"/>
      <c r="B545" s="14"/>
      <c r="C545" s="14"/>
      <c r="D545" s="14"/>
      <c r="E545" s="14"/>
      <c r="F545" s="14"/>
      <c r="G545" s="14"/>
      <c r="H545" s="14"/>
      <c r="I545" s="14"/>
      <c r="J545" s="3"/>
      <c r="K545" s="3"/>
      <c r="L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x14ac:dyDescent="0.2">
      <c r="A546" s="3"/>
      <c r="B546" s="14"/>
      <c r="C546" s="14"/>
      <c r="D546" s="14"/>
      <c r="E546" s="14"/>
      <c r="F546" s="14"/>
      <c r="G546" s="14"/>
      <c r="H546" s="14"/>
      <c r="I546" s="14"/>
      <c r="J546" s="3"/>
      <c r="K546" s="3"/>
      <c r="L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x14ac:dyDescent="0.2">
      <c r="A547" s="3"/>
      <c r="B547" s="14"/>
      <c r="C547" s="14"/>
      <c r="D547" s="14"/>
      <c r="E547" s="14"/>
      <c r="F547" s="14"/>
      <c r="G547" s="14"/>
      <c r="H547" s="14"/>
      <c r="I547" s="14"/>
      <c r="J547" s="3"/>
      <c r="K547" s="3"/>
      <c r="L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x14ac:dyDescent="0.2">
      <c r="A548" s="3"/>
      <c r="B548" s="14"/>
      <c r="C548" s="14"/>
      <c r="D548" s="14"/>
      <c r="E548" s="14"/>
      <c r="F548" s="14"/>
      <c r="G548" s="14"/>
      <c r="H548" s="14"/>
      <c r="I548" s="14"/>
      <c r="J548" s="3"/>
      <c r="K548" s="3"/>
      <c r="L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x14ac:dyDescent="0.2">
      <c r="A549" s="3"/>
      <c r="B549" s="14"/>
      <c r="C549" s="14"/>
      <c r="D549" s="14"/>
      <c r="E549" s="14"/>
      <c r="F549" s="14"/>
      <c r="G549" s="14"/>
      <c r="H549" s="14"/>
      <c r="I549" s="14"/>
      <c r="J549" s="3"/>
      <c r="K549" s="3"/>
      <c r="L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x14ac:dyDescent="0.2">
      <c r="A550" s="3"/>
      <c r="B550" s="14"/>
      <c r="C550" s="14"/>
      <c r="D550" s="14"/>
      <c r="E550" s="14"/>
      <c r="F550" s="14"/>
      <c r="G550" s="14"/>
      <c r="H550" s="14"/>
      <c r="I550" s="14"/>
      <c r="J550" s="3"/>
      <c r="K550" s="3"/>
      <c r="L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x14ac:dyDescent="0.2">
      <c r="A551" s="3"/>
      <c r="B551" s="14"/>
      <c r="C551" s="14"/>
      <c r="D551" s="14"/>
      <c r="E551" s="14"/>
      <c r="F551" s="14"/>
      <c r="G551" s="14"/>
      <c r="H551" s="14"/>
      <c r="I551" s="14"/>
      <c r="J551" s="3"/>
      <c r="K551" s="3"/>
      <c r="L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x14ac:dyDescent="0.2">
      <c r="A552" s="3"/>
      <c r="B552" s="14"/>
      <c r="C552" s="14"/>
      <c r="D552" s="14"/>
      <c r="E552" s="14"/>
      <c r="F552" s="14"/>
      <c r="G552" s="14"/>
      <c r="H552" s="14"/>
      <c r="I552" s="14"/>
      <c r="J552" s="3"/>
      <c r="K552" s="3"/>
      <c r="L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x14ac:dyDescent="0.2">
      <c r="A553" s="3"/>
      <c r="B553" s="14"/>
      <c r="C553" s="14"/>
      <c r="D553" s="14"/>
      <c r="E553" s="14"/>
      <c r="F553" s="14"/>
      <c r="G553" s="14"/>
      <c r="H553" s="14"/>
      <c r="I553" s="14"/>
      <c r="J553" s="3"/>
      <c r="K553" s="3"/>
      <c r="L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x14ac:dyDescent="0.2">
      <c r="A554" s="3"/>
      <c r="B554" s="14"/>
      <c r="C554" s="14"/>
      <c r="D554" s="14"/>
      <c r="E554" s="14"/>
      <c r="F554" s="14"/>
      <c r="G554" s="14"/>
      <c r="H554" s="14"/>
      <c r="I554" s="14"/>
      <c r="J554" s="3"/>
      <c r="K554" s="3"/>
      <c r="L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x14ac:dyDescent="0.2">
      <c r="A555" s="3"/>
      <c r="B555" s="14"/>
      <c r="C555" s="14"/>
      <c r="D555" s="14"/>
      <c r="E555" s="14"/>
      <c r="F555" s="14"/>
      <c r="G555" s="14"/>
      <c r="H555" s="14"/>
      <c r="I555" s="14"/>
      <c r="J555" s="3"/>
      <c r="K555" s="3"/>
      <c r="L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x14ac:dyDescent="0.2">
      <c r="A556" s="3"/>
      <c r="B556" s="14"/>
      <c r="C556" s="14"/>
      <c r="D556" s="14"/>
      <c r="E556" s="14"/>
      <c r="F556" s="14"/>
      <c r="G556" s="14"/>
      <c r="H556" s="14"/>
      <c r="I556" s="14"/>
      <c r="J556" s="3"/>
      <c r="K556" s="3"/>
      <c r="L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x14ac:dyDescent="0.2">
      <c r="A557" s="3"/>
      <c r="B557" s="14"/>
      <c r="C557" s="14"/>
      <c r="D557" s="14"/>
      <c r="E557" s="14"/>
      <c r="F557" s="14"/>
      <c r="G557" s="14"/>
      <c r="H557" s="14"/>
      <c r="I557" s="14"/>
      <c r="J557" s="3"/>
      <c r="K557" s="3"/>
      <c r="L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x14ac:dyDescent="0.2">
      <c r="A558" s="3"/>
      <c r="B558" s="14"/>
      <c r="C558" s="14"/>
      <c r="D558" s="14"/>
      <c r="E558" s="14"/>
      <c r="F558" s="14"/>
      <c r="G558" s="14"/>
      <c r="H558" s="14"/>
      <c r="I558" s="14"/>
      <c r="J558" s="3"/>
      <c r="K558" s="3"/>
      <c r="L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x14ac:dyDescent="0.2">
      <c r="A559" s="3"/>
      <c r="B559" s="14"/>
      <c r="C559" s="14"/>
      <c r="D559" s="14"/>
      <c r="E559" s="14"/>
      <c r="F559" s="14"/>
      <c r="G559" s="14"/>
      <c r="H559" s="14"/>
      <c r="I559" s="14"/>
      <c r="J559" s="3"/>
      <c r="K559" s="3"/>
      <c r="L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x14ac:dyDescent="0.2">
      <c r="A560" s="3"/>
      <c r="B560" s="14"/>
      <c r="C560" s="14"/>
      <c r="D560" s="14"/>
      <c r="E560" s="14"/>
      <c r="F560" s="14"/>
      <c r="G560" s="14"/>
      <c r="H560" s="14"/>
      <c r="I560" s="14"/>
      <c r="J560" s="3"/>
      <c r="K560" s="3"/>
      <c r="L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x14ac:dyDescent="0.2">
      <c r="A561" s="3"/>
      <c r="B561" s="14"/>
      <c r="C561" s="14"/>
      <c r="D561" s="14"/>
      <c r="E561" s="14"/>
      <c r="F561" s="14"/>
      <c r="G561" s="14"/>
      <c r="H561" s="14"/>
      <c r="I561" s="14"/>
      <c r="J561" s="3"/>
      <c r="K561" s="3"/>
      <c r="L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x14ac:dyDescent="0.2">
      <c r="A562" s="3"/>
      <c r="B562" s="14"/>
      <c r="C562" s="14"/>
      <c r="D562" s="14"/>
      <c r="E562" s="14"/>
      <c r="F562" s="14"/>
      <c r="G562" s="14"/>
      <c r="H562" s="14"/>
      <c r="I562" s="14"/>
      <c r="J562" s="3"/>
      <c r="K562" s="3"/>
      <c r="L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x14ac:dyDescent="0.2">
      <c r="A563" s="3"/>
      <c r="B563" s="14"/>
      <c r="C563" s="14"/>
      <c r="D563" s="14"/>
      <c r="E563" s="14"/>
      <c r="F563" s="14"/>
      <c r="G563" s="14"/>
      <c r="H563" s="14"/>
      <c r="I563" s="14"/>
      <c r="J563" s="3"/>
      <c r="K563" s="3"/>
      <c r="L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x14ac:dyDescent="0.2">
      <c r="A564" s="3"/>
      <c r="B564" s="14"/>
      <c r="C564" s="14"/>
      <c r="D564" s="14"/>
      <c r="E564" s="14"/>
      <c r="F564" s="14"/>
      <c r="G564" s="14"/>
      <c r="H564" s="14"/>
      <c r="I564" s="14"/>
      <c r="J564" s="3"/>
      <c r="K564" s="3"/>
      <c r="L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x14ac:dyDescent="0.2">
      <c r="A565" s="3"/>
      <c r="B565" s="14"/>
      <c r="C565" s="14"/>
      <c r="D565" s="14"/>
      <c r="E565" s="14"/>
      <c r="F565" s="14"/>
      <c r="G565" s="14"/>
      <c r="H565" s="14"/>
      <c r="I565" s="14"/>
      <c r="J565" s="3"/>
      <c r="K565" s="3"/>
      <c r="L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x14ac:dyDescent="0.2">
      <c r="A566" s="3"/>
      <c r="B566" s="14"/>
      <c r="C566" s="14"/>
      <c r="D566" s="14"/>
      <c r="E566" s="14"/>
      <c r="F566" s="14"/>
      <c r="G566" s="14"/>
      <c r="H566" s="14"/>
      <c r="I566" s="14"/>
      <c r="J566" s="3"/>
      <c r="K566" s="3"/>
      <c r="L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x14ac:dyDescent="0.2">
      <c r="A567" s="3"/>
      <c r="B567" s="14"/>
      <c r="C567" s="14"/>
      <c r="D567" s="14"/>
      <c r="E567" s="14"/>
      <c r="F567" s="14"/>
      <c r="G567" s="14"/>
      <c r="H567" s="14"/>
      <c r="I567" s="14"/>
      <c r="J567" s="3"/>
      <c r="K567" s="3"/>
      <c r="L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x14ac:dyDescent="0.2">
      <c r="A568" s="3"/>
      <c r="B568" s="14"/>
      <c r="C568" s="14"/>
      <c r="D568" s="14"/>
      <c r="E568" s="14"/>
      <c r="F568" s="14"/>
      <c r="G568" s="14"/>
      <c r="H568" s="14"/>
      <c r="I568" s="14"/>
      <c r="J568" s="3"/>
      <c r="K568" s="3"/>
      <c r="L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x14ac:dyDescent="0.2">
      <c r="A569" s="3"/>
      <c r="B569" s="14"/>
      <c r="C569" s="14"/>
      <c r="D569" s="14"/>
      <c r="E569" s="14"/>
      <c r="F569" s="14"/>
      <c r="G569" s="14"/>
      <c r="H569" s="14"/>
      <c r="I569" s="14"/>
      <c r="J569" s="3"/>
      <c r="K569" s="3"/>
      <c r="L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x14ac:dyDescent="0.2">
      <c r="A570" s="3"/>
      <c r="B570" s="14"/>
      <c r="C570" s="14"/>
      <c r="D570" s="14"/>
      <c r="E570" s="14"/>
      <c r="F570" s="14"/>
      <c r="G570" s="14"/>
      <c r="H570" s="14"/>
      <c r="I570" s="14"/>
      <c r="J570" s="3"/>
      <c r="K570" s="3"/>
      <c r="L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x14ac:dyDescent="0.2">
      <c r="A571" s="3"/>
      <c r="B571" s="14"/>
      <c r="C571" s="14"/>
      <c r="D571" s="14"/>
      <c r="E571" s="14"/>
      <c r="F571" s="14"/>
      <c r="G571" s="14"/>
      <c r="H571" s="14"/>
      <c r="I571" s="14"/>
      <c r="J571" s="3"/>
      <c r="K571" s="3"/>
      <c r="L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x14ac:dyDescent="0.2">
      <c r="A572" s="3"/>
      <c r="B572" s="14"/>
      <c r="C572" s="14"/>
      <c r="D572" s="14"/>
      <c r="E572" s="14"/>
      <c r="F572" s="14"/>
      <c r="G572" s="14"/>
      <c r="H572" s="14"/>
      <c r="I572" s="14"/>
      <c r="J572" s="3"/>
      <c r="K572" s="3"/>
      <c r="L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x14ac:dyDescent="0.2">
      <c r="A573" s="3"/>
      <c r="B573" s="14"/>
      <c r="C573" s="14"/>
      <c r="D573" s="14"/>
      <c r="E573" s="14"/>
      <c r="F573" s="14"/>
      <c r="G573" s="14"/>
      <c r="H573" s="14"/>
      <c r="I573" s="14"/>
      <c r="J573" s="3"/>
      <c r="K573" s="3"/>
      <c r="L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x14ac:dyDescent="0.2">
      <c r="A574" s="3"/>
      <c r="B574" s="14"/>
      <c r="C574" s="14"/>
      <c r="D574" s="14"/>
      <c r="E574" s="14"/>
      <c r="F574" s="14"/>
      <c r="G574" s="14"/>
      <c r="H574" s="14"/>
      <c r="I574" s="14"/>
      <c r="J574" s="3"/>
      <c r="K574" s="3"/>
      <c r="L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x14ac:dyDescent="0.2">
      <c r="A575" s="3"/>
      <c r="B575" s="14"/>
      <c r="C575" s="14"/>
      <c r="D575" s="14"/>
      <c r="E575" s="14"/>
      <c r="F575" s="14"/>
      <c r="G575" s="14"/>
      <c r="H575" s="14"/>
      <c r="I575" s="14"/>
      <c r="J575" s="3"/>
      <c r="K575" s="3"/>
      <c r="L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x14ac:dyDescent="0.2">
      <c r="A576" s="3"/>
      <c r="B576" s="14"/>
      <c r="C576" s="14"/>
      <c r="D576" s="14"/>
      <c r="E576" s="14"/>
      <c r="F576" s="14"/>
      <c r="G576" s="14"/>
      <c r="H576" s="14"/>
      <c r="I576" s="14"/>
      <c r="J576" s="3"/>
      <c r="K576" s="3"/>
      <c r="L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x14ac:dyDescent="0.2">
      <c r="A577" s="3"/>
      <c r="B577" s="14"/>
      <c r="C577" s="14"/>
      <c r="D577" s="14"/>
      <c r="E577" s="14"/>
      <c r="F577" s="14"/>
      <c r="G577" s="14"/>
      <c r="H577" s="14"/>
      <c r="I577" s="14"/>
      <c r="J577" s="3"/>
      <c r="K577" s="3"/>
      <c r="L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x14ac:dyDescent="0.2">
      <c r="A578" s="3"/>
      <c r="B578" s="14"/>
      <c r="C578" s="14"/>
      <c r="D578" s="14"/>
      <c r="E578" s="14"/>
      <c r="F578" s="14"/>
      <c r="G578" s="14"/>
      <c r="H578" s="14"/>
      <c r="I578" s="14"/>
      <c r="J578" s="3"/>
      <c r="K578" s="3"/>
      <c r="L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x14ac:dyDescent="0.2">
      <c r="A579" s="3"/>
      <c r="B579" s="14"/>
      <c r="C579" s="14"/>
      <c r="D579" s="14"/>
      <c r="E579" s="14"/>
      <c r="F579" s="14"/>
      <c r="G579" s="14"/>
      <c r="H579" s="14"/>
      <c r="I579" s="14"/>
      <c r="J579" s="3"/>
      <c r="K579" s="3"/>
      <c r="L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x14ac:dyDescent="0.2">
      <c r="A580" s="3"/>
      <c r="B580" s="14"/>
      <c r="C580" s="14"/>
      <c r="D580" s="14"/>
      <c r="E580" s="14"/>
      <c r="F580" s="14"/>
      <c r="G580" s="14"/>
      <c r="H580" s="14"/>
      <c r="I580" s="14"/>
      <c r="J580" s="3"/>
      <c r="K580" s="3"/>
      <c r="L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x14ac:dyDescent="0.2">
      <c r="A581" s="3"/>
      <c r="B581" s="14"/>
      <c r="C581" s="14"/>
      <c r="D581" s="14"/>
      <c r="E581" s="14"/>
      <c r="F581" s="14"/>
      <c r="G581" s="14"/>
      <c r="H581" s="14"/>
      <c r="I581" s="14"/>
      <c r="J581" s="3"/>
      <c r="K581" s="3"/>
      <c r="L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x14ac:dyDescent="0.2">
      <c r="A582" s="3"/>
      <c r="B582" s="14"/>
      <c r="C582" s="14"/>
      <c r="D582" s="14"/>
      <c r="E582" s="14"/>
      <c r="F582" s="14"/>
      <c r="G582" s="14"/>
      <c r="H582" s="14"/>
      <c r="I582" s="14"/>
      <c r="J582" s="3"/>
      <c r="K582" s="3"/>
      <c r="L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x14ac:dyDescent="0.2">
      <c r="A583" s="3"/>
      <c r="B583" s="14"/>
      <c r="C583" s="14"/>
      <c r="D583" s="14"/>
      <c r="E583" s="14"/>
      <c r="F583" s="14"/>
      <c r="G583" s="14"/>
      <c r="H583" s="14"/>
      <c r="I583" s="14"/>
      <c r="J583" s="3"/>
      <c r="K583" s="3"/>
      <c r="L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x14ac:dyDescent="0.2">
      <c r="A584" s="3"/>
      <c r="B584" s="14"/>
      <c r="C584" s="14"/>
      <c r="D584" s="14"/>
      <c r="E584" s="14"/>
      <c r="F584" s="14"/>
      <c r="G584" s="14"/>
      <c r="H584" s="14"/>
      <c r="I584" s="14"/>
      <c r="J584" s="3"/>
      <c r="K584" s="3"/>
      <c r="L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x14ac:dyDescent="0.2">
      <c r="A585" s="3"/>
      <c r="B585" s="14"/>
      <c r="C585" s="14"/>
      <c r="D585" s="14"/>
      <c r="E585" s="14"/>
      <c r="F585" s="14"/>
      <c r="G585" s="14"/>
      <c r="H585" s="14"/>
      <c r="I585" s="14"/>
      <c r="J585" s="3"/>
      <c r="K585" s="3"/>
      <c r="L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x14ac:dyDescent="0.2">
      <c r="A586" s="3"/>
      <c r="B586" s="14"/>
      <c r="C586" s="14"/>
      <c r="D586" s="14"/>
      <c r="E586" s="14"/>
      <c r="F586" s="14"/>
      <c r="G586" s="14"/>
      <c r="H586" s="14"/>
      <c r="I586" s="14"/>
      <c r="J586" s="3"/>
      <c r="K586" s="3"/>
      <c r="L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x14ac:dyDescent="0.2">
      <c r="A587" s="3"/>
      <c r="B587" s="14"/>
      <c r="C587" s="14"/>
      <c r="D587" s="14"/>
      <c r="E587" s="14"/>
      <c r="F587" s="14"/>
      <c r="G587" s="14"/>
      <c r="H587" s="14"/>
      <c r="I587" s="14"/>
      <c r="J587" s="3"/>
      <c r="K587" s="3"/>
      <c r="L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x14ac:dyDescent="0.2">
      <c r="A588" s="3"/>
      <c r="B588" s="14"/>
      <c r="C588" s="14"/>
      <c r="D588" s="14"/>
      <c r="E588" s="14"/>
      <c r="F588" s="14"/>
      <c r="G588" s="14"/>
      <c r="H588" s="14"/>
      <c r="I588" s="14"/>
      <c r="J588" s="3"/>
      <c r="K588" s="3"/>
      <c r="L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x14ac:dyDescent="0.2">
      <c r="A589" s="3"/>
      <c r="B589" s="14"/>
      <c r="C589" s="14"/>
      <c r="D589" s="14"/>
      <c r="E589" s="14"/>
      <c r="F589" s="14"/>
      <c r="G589" s="14"/>
      <c r="H589" s="14"/>
      <c r="I589" s="14"/>
      <c r="J589" s="3"/>
      <c r="K589" s="3"/>
      <c r="L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x14ac:dyDescent="0.2">
      <c r="A590" s="3"/>
      <c r="B590" s="14"/>
      <c r="C590" s="14"/>
      <c r="D590" s="14"/>
      <c r="E590" s="14"/>
      <c r="F590" s="14"/>
      <c r="G590" s="14"/>
      <c r="H590" s="14"/>
      <c r="I590" s="14"/>
      <c r="J590" s="3"/>
      <c r="K590" s="3"/>
      <c r="L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x14ac:dyDescent="0.2">
      <c r="A591" s="3"/>
      <c r="B591" s="14"/>
      <c r="C591" s="14"/>
      <c r="D591" s="14"/>
      <c r="E591" s="14"/>
      <c r="F591" s="14"/>
      <c r="G591" s="14"/>
      <c r="H591" s="14"/>
      <c r="I591" s="14"/>
      <c r="J591" s="3"/>
      <c r="K591" s="3"/>
      <c r="L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x14ac:dyDescent="0.2">
      <c r="A592" s="3"/>
      <c r="B592" s="14"/>
      <c r="C592" s="14"/>
      <c r="D592" s="14"/>
      <c r="E592" s="14"/>
      <c r="F592" s="14"/>
      <c r="G592" s="14"/>
      <c r="H592" s="14"/>
      <c r="I592" s="14"/>
      <c r="J592" s="3"/>
      <c r="K592" s="3"/>
      <c r="L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x14ac:dyDescent="0.2">
      <c r="A593" s="3"/>
      <c r="B593" s="14"/>
      <c r="C593" s="14"/>
      <c r="D593" s="14"/>
      <c r="E593" s="14"/>
      <c r="F593" s="14"/>
      <c r="G593" s="14"/>
      <c r="H593" s="14"/>
      <c r="I593" s="14"/>
      <c r="J593" s="3"/>
      <c r="K593" s="3"/>
      <c r="L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x14ac:dyDescent="0.2">
      <c r="A594" s="3"/>
      <c r="B594" s="14"/>
      <c r="C594" s="14"/>
      <c r="D594" s="14"/>
      <c r="E594" s="14"/>
      <c r="F594" s="14"/>
      <c r="G594" s="14"/>
      <c r="H594" s="14"/>
      <c r="I594" s="14"/>
      <c r="J594" s="3"/>
      <c r="K594" s="3"/>
      <c r="L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x14ac:dyDescent="0.2">
      <c r="A595" s="3"/>
      <c r="B595" s="14"/>
      <c r="C595" s="14"/>
      <c r="D595" s="14"/>
      <c r="E595" s="14"/>
      <c r="F595" s="14"/>
      <c r="G595" s="14"/>
      <c r="H595" s="14"/>
      <c r="I595" s="14"/>
      <c r="J595" s="3"/>
      <c r="K595" s="3"/>
      <c r="L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x14ac:dyDescent="0.2">
      <c r="A596" s="3"/>
      <c r="B596" s="14"/>
      <c r="C596" s="14"/>
      <c r="D596" s="14"/>
      <c r="E596" s="14"/>
      <c r="F596" s="14"/>
      <c r="G596" s="14"/>
      <c r="H596" s="14"/>
      <c r="I596" s="14"/>
      <c r="J596" s="3"/>
      <c r="K596" s="3"/>
      <c r="L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x14ac:dyDescent="0.2">
      <c r="A597" s="3"/>
      <c r="B597" s="14"/>
      <c r="C597" s="14"/>
      <c r="D597" s="14"/>
      <c r="E597" s="14"/>
      <c r="F597" s="14"/>
      <c r="G597" s="14"/>
      <c r="H597" s="14"/>
      <c r="I597" s="14"/>
      <c r="J597" s="3"/>
      <c r="K597" s="3"/>
      <c r="L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x14ac:dyDescent="0.2">
      <c r="A598" s="3"/>
      <c r="B598" s="14"/>
      <c r="C598" s="14"/>
      <c r="D598" s="14"/>
      <c r="E598" s="14"/>
      <c r="F598" s="14"/>
      <c r="G598" s="14"/>
      <c r="H598" s="14"/>
      <c r="I598" s="14"/>
      <c r="J598" s="3"/>
      <c r="K598" s="3"/>
      <c r="L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x14ac:dyDescent="0.2">
      <c r="A599" s="3"/>
      <c r="B599" s="14"/>
      <c r="C599" s="14"/>
      <c r="D599" s="14"/>
      <c r="E599" s="14"/>
      <c r="F599" s="14"/>
      <c r="G599" s="14"/>
      <c r="H599" s="14"/>
      <c r="I599" s="14"/>
      <c r="J599" s="3"/>
      <c r="K599" s="3"/>
      <c r="L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x14ac:dyDescent="0.2">
      <c r="A600" s="3"/>
      <c r="B600" s="14"/>
      <c r="C600" s="14"/>
      <c r="D600" s="14"/>
      <c r="E600" s="14"/>
      <c r="F600" s="14"/>
      <c r="G600" s="14"/>
      <c r="H600" s="14"/>
      <c r="I600" s="14"/>
      <c r="J600" s="3"/>
      <c r="K600" s="3"/>
      <c r="L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x14ac:dyDescent="0.2">
      <c r="A601" s="3"/>
      <c r="B601" s="14"/>
      <c r="C601" s="14"/>
      <c r="D601" s="14"/>
      <c r="E601" s="14"/>
      <c r="F601" s="14"/>
      <c r="G601" s="14"/>
      <c r="H601" s="14"/>
      <c r="I601" s="14"/>
      <c r="J601" s="3"/>
      <c r="K601" s="3"/>
      <c r="L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x14ac:dyDescent="0.2">
      <c r="A602" s="3"/>
      <c r="B602" s="14"/>
      <c r="C602" s="14"/>
      <c r="D602" s="14"/>
      <c r="E602" s="14"/>
      <c r="F602" s="14"/>
      <c r="G602" s="14"/>
      <c r="H602" s="14"/>
      <c r="I602" s="14"/>
      <c r="J602" s="3"/>
      <c r="K602" s="3"/>
      <c r="L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x14ac:dyDescent="0.2">
      <c r="A603" s="3"/>
      <c r="B603" s="14"/>
      <c r="C603" s="14"/>
      <c r="D603" s="14"/>
      <c r="E603" s="14"/>
      <c r="F603" s="14"/>
      <c r="G603" s="14"/>
      <c r="H603" s="14"/>
      <c r="I603" s="14"/>
      <c r="J603" s="3"/>
      <c r="K603" s="3"/>
      <c r="L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x14ac:dyDescent="0.2">
      <c r="A604" s="3"/>
      <c r="B604" s="14"/>
      <c r="C604" s="14"/>
      <c r="D604" s="14"/>
      <c r="E604" s="14"/>
      <c r="F604" s="14"/>
      <c r="G604" s="14"/>
      <c r="H604" s="14"/>
      <c r="I604" s="14"/>
      <c r="J604" s="3"/>
      <c r="K604" s="3"/>
      <c r="L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x14ac:dyDescent="0.2">
      <c r="A605" s="3"/>
      <c r="B605" s="14"/>
      <c r="C605" s="14"/>
      <c r="D605" s="14"/>
      <c r="E605" s="14"/>
      <c r="F605" s="14"/>
      <c r="G605" s="14"/>
      <c r="H605" s="14"/>
      <c r="I605" s="14"/>
      <c r="J605" s="3"/>
      <c r="K605" s="3"/>
      <c r="L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x14ac:dyDescent="0.2">
      <c r="A606" s="3"/>
      <c r="B606" s="14"/>
      <c r="C606" s="14"/>
      <c r="D606" s="14"/>
      <c r="E606" s="14"/>
      <c r="F606" s="14"/>
      <c r="G606" s="14"/>
      <c r="H606" s="14"/>
      <c r="I606" s="14"/>
      <c r="J606" s="3"/>
      <c r="K606" s="3"/>
      <c r="L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x14ac:dyDescent="0.2">
      <c r="A607" s="3"/>
      <c r="B607" s="14"/>
      <c r="C607" s="14"/>
      <c r="D607" s="14"/>
      <c r="E607" s="14"/>
      <c r="F607" s="14"/>
      <c r="G607" s="14"/>
      <c r="H607" s="14"/>
      <c r="I607" s="14"/>
      <c r="J607" s="3"/>
      <c r="K607" s="3"/>
      <c r="L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x14ac:dyDescent="0.2">
      <c r="A608" s="3"/>
      <c r="B608" s="14"/>
      <c r="C608" s="14"/>
      <c r="D608" s="14"/>
      <c r="E608" s="14"/>
      <c r="F608" s="14"/>
      <c r="G608" s="14"/>
      <c r="H608" s="14"/>
      <c r="I608" s="14"/>
      <c r="J608" s="3"/>
      <c r="K608" s="3"/>
      <c r="L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x14ac:dyDescent="0.2">
      <c r="A609" s="3"/>
      <c r="B609" s="14"/>
      <c r="C609" s="14"/>
      <c r="D609" s="14"/>
      <c r="E609" s="14"/>
      <c r="F609" s="14"/>
      <c r="G609" s="14"/>
      <c r="H609" s="14"/>
      <c r="I609" s="14"/>
      <c r="J609" s="3"/>
      <c r="K609" s="3"/>
      <c r="L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x14ac:dyDescent="0.2">
      <c r="A610" s="3"/>
      <c r="B610" s="14"/>
      <c r="C610" s="14"/>
      <c r="D610" s="14"/>
      <c r="E610" s="14"/>
      <c r="F610" s="14"/>
      <c r="G610" s="14"/>
      <c r="H610" s="14"/>
      <c r="I610" s="14"/>
      <c r="J610" s="3"/>
      <c r="K610" s="3"/>
      <c r="L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x14ac:dyDescent="0.2">
      <c r="A611" s="3"/>
      <c r="B611" s="14"/>
      <c r="C611" s="14"/>
      <c r="D611" s="14"/>
      <c r="E611" s="14"/>
      <c r="F611" s="14"/>
      <c r="G611" s="14"/>
      <c r="H611" s="14"/>
      <c r="I611" s="14"/>
      <c r="J611" s="3"/>
      <c r="K611" s="3"/>
      <c r="L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x14ac:dyDescent="0.2">
      <c r="A612" s="3"/>
      <c r="B612" s="14"/>
      <c r="C612" s="14"/>
      <c r="D612" s="14"/>
      <c r="E612" s="14"/>
      <c r="F612" s="14"/>
      <c r="G612" s="14"/>
      <c r="H612" s="14"/>
      <c r="I612" s="14"/>
      <c r="J612" s="3"/>
      <c r="K612" s="3"/>
      <c r="L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x14ac:dyDescent="0.2">
      <c r="A613" s="3"/>
      <c r="B613" s="14"/>
      <c r="C613" s="14"/>
      <c r="D613" s="14"/>
      <c r="E613" s="14"/>
      <c r="F613" s="14"/>
      <c r="G613" s="14"/>
      <c r="H613" s="14"/>
      <c r="I613" s="14"/>
      <c r="J613" s="3"/>
      <c r="K613" s="3"/>
      <c r="L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x14ac:dyDescent="0.2">
      <c r="A614" s="3"/>
      <c r="B614" s="14"/>
      <c r="C614" s="14"/>
      <c r="D614" s="14"/>
      <c r="E614" s="14"/>
      <c r="F614" s="14"/>
      <c r="G614" s="14"/>
      <c r="H614" s="14"/>
      <c r="I614" s="14"/>
      <c r="J614" s="3"/>
      <c r="K614" s="3"/>
      <c r="L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x14ac:dyDescent="0.2">
      <c r="A615" s="3"/>
      <c r="B615" s="14"/>
      <c r="C615" s="14"/>
      <c r="D615" s="14"/>
      <c r="E615" s="14"/>
      <c r="F615" s="14"/>
      <c r="G615" s="14"/>
      <c r="H615" s="14"/>
      <c r="I615" s="14"/>
      <c r="J615" s="3"/>
      <c r="K615" s="3"/>
      <c r="L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x14ac:dyDescent="0.2">
      <c r="A616" s="3"/>
      <c r="B616" s="14"/>
      <c r="C616" s="14"/>
      <c r="D616" s="14"/>
      <c r="E616" s="14"/>
      <c r="F616" s="14"/>
      <c r="G616" s="14"/>
      <c r="H616" s="14"/>
      <c r="I616" s="14"/>
      <c r="J616" s="3"/>
      <c r="K616" s="3"/>
      <c r="L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x14ac:dyDescent="0.2">
      <c r="A617" s="3"/>
      <c r="B617" s="14"/>
      <c r="C617" s="14"/>
      <c r="D617" s="14"/>
      <c r="E617" s="14"/>
      <c r="F617" s="14"/>
      <c r="G617" s="14"/>
      <c r="H617" s="14"/>
      <c r="I617" s="14"/>
      <c r="J617" s="3"/>
      <c r="K617" s="3"/>
      <c r="L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x14ac:dyDescent="0.2">
      <c r="A618" s="3"/>
      <c r="B618" s="14"/>
      <c r="C618" s="14"/>
      <c r="D618" s="14"/>
      <c r="E618" s="14"/>
      <c r="F618" s="14"/>
      <c r="G618" s="14"/>
      <c r="H618" s="14"/>
      <c r="I618" s="14"/>
      <c r="J618" s="3"/>
      <c r="K618" s="3"/>
      <c r="L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x14ac:dyDescent="0.2">
      <c r="A619" s="3"/>
      <c r="B619" s="14"/>
      <c r="C619" s="14"/>
      <c r="D619" s="14"/>
      <c r="E619" s="14"/>
      <c r="F619" s="14"/>
      <c r="G619" s="14"/>
      <c r="H619" s="14"/>
      <c r="I619" s="14"/>
      <c r="J619" s="3"/>
      <c r="K619" s="3"/>
      <c r="L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x14ac:dyDescent="0.2">
      <c r="A620" s="3"/>
      <c r="B620" s="14"/>
      <c r="C620" s="14"/>
      <c r="D620" s="14"/>
      <c r="E620" s="14"/>
      <c r="F620" s="14"/>
      <c r="G620" s="14"/>
      <c r="H620" s="14"/>
      <c r="I620" s="14"/>
      <c r="J620" s="3"/>
      <c r="K620" s="3"/>
      <c r="L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x14ac:dyDescent="0.2">
      <c r="A621" s="3"/>
      <c r="B621" s="14"/>
      <c r="C621" s="14"/>
      <c r="D621" s="14"/>
      <c r="E621" s="14"/>
      <c r="F621" s="14"/>
      <c r="G621" s="14"/>
      <c r="H621" s="14"/>
      <c r="I621" s="14"/>
      <c r="J621" s="3"/>
      <c r="K621" s="3"/>
      <c r="L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x14ac:dyDescent="0.2">
      <c r="A622" s="3"/>
      <c r="B622" s="14"/>
      <c r="C622" s="14"/>
      <c r="D622" s="14"/>
      <c r="E622" s="14"/>
      <c r="F622" s="14"/>
      <c r="G622" s="14"/>
      <c r="H622" s="14"/>
      <c r="I622" s="14"/>
      <c r="J622" s="3"/>
      <c r="K622" s="3"/>
      <c r="L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x14ac:dyDescent="0.2">
      <c r="A623" s="3"/>
      <c r="B623" s="14"/>
      <c r="C623" s="14"/>
      <c r="D623" s="14"/>
      <c r="E623" s="14"/>
      <c r="F623" s="14"/>
      <c r="G623" s="14"/>
      <c r="H623" s="14"/>
      <c r="I623" s="14"/>
      <c r="J623" s="3"/>
      <c r="K623" s="3"/>
      <c r="L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x14ac:dyDescent="0.2">
      <c r="A624" s="3"/>
      <c r="B624" s="14"/>
      <c r="C624" s="14"/>
      <c r="D624" s="14"/>
      <c r="E624" s="14"/>
      <c r="F624" s="14"/>
      <c r="G624" s="14"/>
      <c r="H624" s="14"/>
      <c r="I624" s="14"/>
      <c r="J624" s="3"/>
      <c r="K624" s="3"/>
      <c r="L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x14ac:dyDescent="0.2">
      <c r="A625" s="3"/>
      <c r="B625" s="14"/>
      <c r="C625" s="14"/>
      <c r="D625" s="14"/>
      <c r="E625" s="14"/>
      <c r="F625" s="14"/>
      <c r="G625" s="14"/>
      <c r="H625" s="14"/>
      <c r="I625" s="14"/>
      <c r="J625" s="3"/>
      <c r="K625" s="3"/>
      <c r="L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x14ac:dyDescent="0.2">
      <c r="A626" s="3"/>
      <c r="B626" s="14"/>
      <c r="C626" s="14"/>
      <c r="D626" s="14"/>
      <c r="E626" s="14"/>
      <c r="F626" s="14"/>
      <c r="G626" s="14"/>
      <c r="H626" s="14"/>
      <c r="I626" s="14"/>
      <c r="J626" s="3"/>
      <c r="K626" s="3"/>
      <c r="L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x14ac:dyDescent="0.2">
      <c r="A627" s="3"/>
      <c r="B627" s="14"/>
      <c r="C627" s="14"/>
      <c r="D627" s="14"/>
      <c r="E627" s="14"/>
      <c r="F627" s="14"/>
      <c r="G627" s="14"/>
      <c r="H627" s="14"/>
      <c r="I627" s="14"/>
      <c r="J627" s="3"/>
      <c r="K627" s="3"/>
      <c r="L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x14ac:dyDescent="0.2">
      <c r="A628" s="3"/>
      <c r="B628" s="14"/>
      <c r="C628" s="14"/>
      <c r="D628" s="14"/>
      <c r="E628" s="14"/>
      <c r="F628" s="14"/>
      <c r="G628" s="14"/>
      <c r="H628" s="14"/>
      <c r="I628" s="14"/>
      <c r="J628" s="3"/>
      <c r="K628" s="3"/>
      <c r="L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x14ac:dyDescent="0.2">
      <c r="A629" s="3"/>
      <c r="B629" s="14"/>
      <c r="C629" s="14"/>
      <c r="D629" s="14"/>
      <c r="E629" s="14"/>
      <c r="F629" s="14"/>
      <c r="G629" s="14"/>
      <c r="H629" s="14"/>
      <c r="I629" s="14"/>
      <c r="J629" s="3"/>
      <c r="K629" s="3"/>
      <c r="L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x14ac:dyDescent="0.2">
      <c r="A630" s="3"/>
      <c r="B630" s="14"/>
      <c r="C630" s="14"/>
      <c r="D630" s="14"/>
      <c r="E630" s="14"/>
      <c r="F630" s="14"/>
      <c r="G630" s="14"/>
      <c r="H630" s="14"/>
      <c r="I630" s="14"/>
      <c r="J630" s="3"/>
      <c r="K630" s="3"/>
      <c r="L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x14ac:dyDescent="0.2">
      <c r="A631" s="3"/>
      <c r="B631" s="14"/>
      <c r="C631" s="14"/>
      <c r="D631" s="14"/>
      <c r="E631" s="14"/>
      <c r="F631" s="14"/>
      <c r="G631" s="14"/>
      <c r="H631" s="14"/>
      <c r="I631" s="14"/>
      <c r="J631" s="3"/>
      <c r="K631" s="3"/>
      <c r="L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x14ac:dyDescent="0.2">
      <c r="A632" s="3"/>
      <c r="B632" s="14"/>
      <c r="C632" s="14"/>
      <c r="D632" s="14"/>
      <c r="E632" s="14"/>
      <c r="F632" s="14"/>
      <c r="G632" s="14"/>
      <c r="H632" s="14"/>
      <c r="I632" s="14"/>
      <c r="J632" s="3"/>
      <c r="K632" s="3"/>
      <c r="L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x14ac:dyDescent="0.2">
      <c r="A633" s="3"/>
      <c r="B633" s="14"/>
      <c r="C633" s="14"/>
      <c r="D633" s="14"/>
      <c r="E633" s="14"/>
      <c r="F633" s="14"/>
      <c r="G633" s="14"/>
      <c r="H633" s="14"/>
      <c r="I633" s="14"/>
      <c r="J633" s="3"/>
      <c r="K633" s="3"/>
      <c r="L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x14ac:dyDescent="0.2">
      <c r="A634" s="3"/>
      <c r="B634" s="14"/>
      <c r="C634" s="14"/>
      <c r="D634" s="14"/>
      <c r="E634" s="14"/>
      <c r="F634" s="14"/>
      <c r="G634" s="14"/>
      <c r="H634" s="14"/>
      <c r="I634" s="14"/>
      <c r="J634" s="3"/>
      <c r="K634" s="3"/>
      <c r="L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x14ac:dyDescent="0.2">
      <c r="A635" s="3"/>
      <c r="B635" s="14"/>
      <c r="C635" s="14"/>
      <c r="D635" s="14"/>
      <c r="E635" s="14"/>
      <c r="F635" s="14"/>
      <c r="G635" s="14"/>
      <c r="H635" s="14"/>
      <c r="I635" s="14"/>
      <c r="J635" s="3"/>
      <c r="K635" s="3"/>
      <c r="L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x14ac:dyDescent="0.2">
      <c r="A636" s="3"/>
      <c r="B636" s="14"/>
      <c r="C636" s="14"/>
      <c r="D636" s="14"/>
      <c r="E636" s="14"/>
      <c r="F636" s="14"/>
      <c r="G636" s="14"/>
      <c r="H636" s="14"/>
      <c r="I636" s="14"/>
      <c r="J636" s="3"/>
      <c r="K636" s="3"/>
      <c r="L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x14ac:dyDescent="0.2">
      <c r="A637" s="3"/>
      <c r="B637" s="14"/>
      <c r="C637" s="14"/>
      <c r="D637" s="14"/>
      <c r="E637" s="14"/>
      <c r="F637" s="14"/>
      <c r="G637" s="14"/>
      <c r="H637" s="14"/>
      <c r="I637" s="14"/>
      <c r="J637" s="3"/>
      <c r="K637" s="3"/>
      <c r="L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x14ac:dyDescent="0.2">
      <c r="A638" s="3"/>
      <c r="B638" s="14"/>
      <c r="C638" s="14"/>
      <c r="D638" s="14"/>
      <c r="E638" s="14"/>
      <c r="F638" s="14"/>
      <c r="G638" s="14"/>
      <c r="H638" s="14"/>
      <c r="I638" s="14"/>
      <c r="J638" s="3"/>
      <c r="K638" s="3"/>
      <c r="L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x14ac:dyDescent="0.2">
      <c r="A639" s="3"/>
      <c r="B639" s="14"/>
      <c r="C639" s="14"/>
      <c r="D639" s="14"/>
      <c r="E639" s="14"/>
      <c r="F639" s="14"/>
      <c r="G639" s="14"/>
      <c r="H639" s="14"/>
      <c r="I639" s="14"/>
      <c r="J639" s="3"/>
      <c r="K639" s="3"/>
      <c r="L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x14ac:dyDescent="0.2">
      <c r="A640" s="3"/>
      <c r="B640" s="14"/>
      <c r="C640" s="14"/>
      <c r="D640" s="14"/>
      <c r="E640" s="14"/>
      <c r="F640" s="14"/>
      <c r="G640" s="14"/>
      <c r="H640" s="14"/>
      <c r="I640" s="14"/>
      <c r="J640" s="3"/>
      <c r="K640" s="3"/>
      <c r="L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x14ac:dyDescent="0.2">
      <c r="A641" s="3"/>
      <c r="B641" s="14"/>
      <c r="C641" s="14"/>
      <c r="D641" s="14"/>
      <c r="E641" s="14"/>
      <c r="F641" s="14"/>
      <c r="G641" s="14"/>
      <c r="H641" s="14"/>
      <c r="I641" s="14"/>
      <c r="J641" s="3"/>
      <c r="K641" s="3"/>
      <c r="L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x14ac:dyDescent="0.2">
      <c r="A642" s="3"/>
      <c r="B642" s="14"/>
      <c r="C642" s="14"/>
      <c r="D642" s="14"/>
      <c r="E642" s="14"/>
      <c r="F642" s="14"/>
      <c r="G642" s="14"/>
      <c r="H642" s="14"/>
      <c r="I642" s="14"/>
      <c r="J642" s="3"/>
      <c r="K642" s="3"/>
      <c r="L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x14ac:dyDescent="0.2">
      <c r="A643" s="3"/>
      <c r="B643" s="14"/>
      <c r="C643" s="14"/>
      <c r="D643" s="14"/>
      <c r="E643" s="14"/>
      <c r="F643" s="14"/>
      <c r="G643" s="14"/>
      <c r="H643" s="14"/>
      <c r="I643" s="14"/>
      <c r="J643" s="3"/>
      <c r="K643" s="3"/>
      <c r="L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x14ac:dyDescent="0.2">
      <c r="A644" s="3"/>
      <c r="B644" s="14"/>
      <c r="C644" s="14"/>
      <c r="D644" s="14"/>
      <c r="E644" s="14"/>
      <c r="F644" s="14"/>
      <c r="G644" s="14"/>
      <c r="H644" s="14"/>
      <c r="I644" s="14"/>
      <c r="J644" s="3"/>
      <c r="K644" s="3"/>
      <c r="L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x14ac:dyDescent="0.2">
      <c r="A645" s="3"/>
      <c r="B645" s="14"/>
      <c r="C645" s="14"/>
      <c r="D645" s="14"/>
      <c r="E645" s="14"/>
      <c r="F645" s="14"/>
      <c r="G645" s="14"/>
      <c r="H645" s="14"/>
      <c r="I645" s="14"/>
      <c r="J645" s="3"/>
      <c r="K645" s="3"/>
      <c r="L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x14ac:dyDescent="0.2">
      <c r="A646" s="3"/>
      <c r="B646" s="14"/>
      <c r="C646" s="14"/>
      <c r="D646" s="14"/>
      <c r="E646" s="14"/>
      <c r="F646" s="14"/>
      <c r="G646" s="14"/>
      <c r="H646" s="14"/>
      <c r="I646" s="14"/>
      <c r="J646" s="3"/>
      <c r="K646" s="3"/>
      <c r="L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x14ac:dyDescent="0.2">
      <c r="A647" s="3"/>
      <c r="B647" s="14"/>
      <c r="C647" s="14"/>
      <c r="D647" s="14"/>
      <c r="E647" s="14"/>
      <c r="F647" s="14"/>
      <c r="G647" s="14"/>
      <c r="H647" s="14"/>
      <c r="I647" s="14"/>
      <c r="J647" s="3"/>
      <c r="K647" s="3"/>
      <c r="L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x14ac:dyDescent="0.2">
      <c r="A648" s="3"/>
      <c r="B648" s="14"/>
      <c r="C648" s="14"/>
      <c r="D648" s="14"/>
      <c r="E648" s="14"/>
      <c r="F648" s="14"/>
      <c r="G648" s="14"/>
      <c r="H648" s="14"/>
      <c r="I648" s="14"/>
      <c r="J648" s="3"/>
      <c r="K648" s="3"/>
      <c r="L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x14ac:dyDescent="0.2">
      <c r="A649" s="3"/>
      <c r="B649" s="14"/>
      <c r="C649" s="14"/>
      <c r="D649" s="14"/>
      <c r="E649" s="14"/>
      <c r="F649" s="14"/>
      <c r="G649" s="14"/>
      <c r="H649" s="14"/>
      <c r="I649" s="14"/>
      <c r="J649" s="3"/>
      <c r="K649" s="3"/>
      <c r="L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x14ac:dyDescent="0.2">
      <c r="A650" s="3"/>
      <c r="B650" s="14"/>
      <c r="C650" s="14"/>
      <c r="D650" s="14"/>
      <c r="E650" s="14"/>
      <c r="F650" s="14"/>
      <c r="G650" s="14"/>
      <c r="H650" s="14"/>
      <c r="I650" s="14"/>
      <c r="J650" s="3"/>
      <c r="K650" s="3"/>
      <c r="L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x14ac:dyDescent="0.2">
      <c r="A651" s="3"/>
      <c r="B651" s="14"/>
      <c r="C651" s="14"/>
      <c r="D651" s="14"/>
      <c r="E651" s="14"/>
      <c r="F651" s="14"/>
      <c r="G651" s="14"/>
      <c r="H651" s="14"/>
      <c r="I651" s="14"/>
      <c r="J651" s="3"/>
      <c r="K651" s="3"/>
      <c r="L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x14ac:dyDescent="0.2">
      <c r="A652" s="3"/>
      <c r="B652" s="14"/>
      <c r="C652" s="14"/>
      <c r="D652" s="14"/>
      <c r="E652" s="14"/>
      <c r="F652" s="14"/>
      <c r="G652" s="14"/>
      <c r="H652" s="14"/>
      <c r="I652" s="14"/>
      <c r="J652" s="3"/>
      <c r="K652" s="3"/>
      <c r="L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x14ac:dyDescent="0.2">
      <c r="A653" s="3"/>
      <c r="B653" s="14"/>
      <c r="C653" s="14"/>
      <c r="D653" s="14"/>
      <c r="E653" s="14"/>
      <c r="F653" s="14"/>
      <c r="G653" s="14"/>
      <c r="H653" s="14"/>
      <c r="I653" s="14"/>
      <c r="J653" s="3"/>
      <c r="K653" s="3"/>
      <c r="L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x14ac:dyDescent="0.2">
      <c r="A654" s="3"/>
      <c r="B654" s="14"/>
      <c r="C654" s="14"/>
      <c r="D654" s="14"/>
      <c r="E654" s="14"/>
      <c r="F654" s="14"/>
      <c r="G654" s="14"/>
      <c r="H654" s="14"/>
      <c r="I654" s="14"/>
      <c r="J654" s="3"/>
      <c r="K654" s="3"/>
      <c r="L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x14ac:dyDescent="0.2">
      <c r="A655" s="3"/>
      <c r="B655" s="14"/>
      <c r="C655" s="14"/>
      <c r="D655" s="14"/>
      <c r="E655" s="14"/>
      <c r="F655" s="14"/>
      <c r="G655" s="14"/>
      <c r="H655" s="14"/>
      <c r="I655" s="14"/>
      <c r="J655" s="3"/>
      <c r="K655" s="3"/>
      <c r="L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x14ac:dyDescent="0.2">
      <c r="A656" s="3"/>
      <c r="B656" s="14"/>
      <c r="C656" s="14"/>
      <c r="D656" s="14"/>
      <c r="E656" s="14"/>
      <c r="F656" s="14"/>
      <c r="G656" s="14"/>
      <c r="H656" s="14"/>
      <c r="I656" s="14"/>
      <c r="J656" s="3"/>
      <c r="K656" s="3"/>
      <c r="L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x14ac:dyDescent="0.2">
      <c r="A657" s="3"/>
      <c r="B657" s="14"/>
      <c r="C657" s="14"/>
      <c r="D657" s="14"/>
      <c r="E657" s="14"/>
      <c r="F657" s="14"/>
      <c r="G657" s="14"/>
      <c r="H657" s="14"/>
      <c r="I657" s="14"/>
      <c r="J657" s="3"/>
      <c r="K657" s="3"/>
      <c r="L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x14ac:dyDescent="0.2">
      <c r="A658" s="3"/>
      <c r="B658" s="14"/>
      <c r="C658" s="14"/>
      <c r="D658" s="14"/>
      <c r="E658" s="14"/>
      <c r="F658" s="14"/>
      <c r="G658" s="14"/>
      <c r="H658" s="14"/>
      <c r="I658" s="14"/>
      <c r="J658" s="3"/>
      <c r="K658" s="3"/>
      <c r="L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x14ac:dyDescent="0.2">
      <c r="A659" s="3"/>
      <c r="B659" s="14"/>
      <c r="C659" s="14"/>
      <c r="D659" s="14"/>
      <c r="E659" s="14"/>
      <c r="F659" s="14"/>
      <c r="G659" s="14"/>
      <c r="H659" s="14"/>
      <c r="I659" s="14"/>
      <c r="J659" s="3"/>
      <c r="K659" s="3"/>
      <c r="L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x14ac:dyDescent="0.2">
      <c r="A660" s="3"/>
      <c r="B660" s="14"/>
      <c r="C660" s="14"/>
      <c r="D660" s="14"/>
      <c r="E660" s="14"/>
      <c r="F660" s="14"/>
      <c r="G660" s="14"/>
      <c r="H660" s="14"/>
      <c r="I660" s="14"/>
      <c r="J660" s="3"/>
      <c r="K660" s="3"/>
      <c r="L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x14ac:dyDescent="0.2">
      <c r="A661" s="3"/>
      <c r="B661" s="14"/>
      <c r="C661" s="14"/>
      <c r="D661" s="14"/>
      <c r="E661" s="14"/>
      <c r="F661" s="14"/>
      <c r="G661" s="14"/>
      <c r="H661" s="14"/>
      <c r="I661" s="14"/>
      <c r="J661" s="3"/>
      <c r="K661" s="3"/>
      <c r="L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x14ac:dyDescent="0.2">
      <c r="A662" s="3"/>
      <c r="B662" s="14"/>
      <c r="C662" s="14"/>
      <c r="D662" s="14"/>
      <c r="E662" s="14"/>
      <c r="F662" s="14"/>
      <c r="G662" s="14"/>
      <c r="H662" s="14"/>
      <c r="I662" s="14"/>
      <c r="J662" s="3"/>
      <c r="K662" s="3"/>
      <c r="L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x14ac:dyDescent="0.2">
      <c r="A663" s="3"/>
      <c r="B663" s="14"/>
      <c r="C663" s="14"/>
      <c r="D663" s="14"/>
      <c r="E663" s="14"/>
      <c r="F663" s="14"/>
      <c r="G663" s="14"/>
      <c r="H663" s="14"/>
      <c r="I663" s="14"/>
      <c r="J663" s="3"/>
      <c r="K663" s="3"/>
      <c r="L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x14ac:dyDescent="0.2">
      <c r="A664" s="3"/>
      <c r="B664" s="14"/>
      <c r="C664" s="14"/>
      <c r="D664" s="14"/>
      <c r="E664" s="14"/>
      <c r="F664" s="14"/>
      <c r="G664" s="14"/>
      <c r="H664" s="14"/>
      <c r="I664" s="14"/>
      <c r="J664" s="3"/>
      <c r="K664" s="3"/>
      <c r="L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x14ac:dyDescent="0.2">
      <c r="A665" s="3"/>
      <c r="B665" s="14"/>
      <c r="C665" s="14"/>
      <c r="D665" s="14"/>
      <c r="E665" s="14"/>
      <c r="F665" s="14"/>
      <c r="G665" s="14"/>
      <c r="H665" s="14"/>
      <c r="I665" s="14"/>
      <c r="J665" s="3"/>
      <c r="K665" s="3"/>
      <c r="L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x14ac:dyDescent="0.2">
      <c r="A666" s="3"/>
      <c r="B666" s="14"/>
      <c r="C666" s="14"/>
      <c r="D666" s="14"/>
      <c r="E666" s="14"/>
      <c r="F666" s="14"/>
      <c r="G666" s="14"/>
      <c r="H666" s="14"/>
      <c r="I666" s="14"/>
      <c r="J666" s="3"/>
      <c r="K666" s="3"/>
      <c r="L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x14ac:dyDescent="0.2">
      <c r="A667" s="3"/>
      <c r="B667" s="14"/>
      <c r="C667" s="14"/>
      <c r="D667" s="14"/>
      <c r="E667" s="14"/>
      <c r="F667" s="14"/>
      <c r="G667" s="14"/>
      <c r="H667" s="14"/>
      <c r="I667" s="14"/>
      <c r="J667" s="3"/>
      <c r="K667" s="3"/>
      <c r="L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x14ac:dyDescent="0.2">
      <c r="A668" s="3"/>
      <c r="B668" s="14"/>
      <c r="C668" s="14"/>
      <c r="D668" s="14"/>
      <c r="E668" s="14"/>
      <c r="F668" s="14"/>
      <c r="G668" s="14"/>
      <c r="H668" s="14"/>
      <c r="I668" s="14"/>
      <c r="J668" s="3"/>
      <c r="K668" s="3"/>
      <c r="L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x14ac:dyDescent="0.2">
      <c r="A669" s="3"/>
      <c r="B669" s="14"/>
      <c r="C669" s="14"/>
      <c r="D669" s="14"/>
      <c r="E669" s="14"/>
      <c r="F669" s="14"/>
      <c r="G669" s="14"/>
      <c r="H669" s="14"/>
      <c r="I669" s="14"/>
      <c r="J669" s="3"/>
      <c r="K669" s="3"/>
      <c r="L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x14ac:dyDescent="0.2">
      <c r="A670" s="3"/>
      <c r="B670" s="14"/>
      <c r="C670" s="14"/>
      <c r="D670" s="14"/>
      <c r="E670" s="14"/>
      <c r="F670" s="14"/>
      <c r="G670" s="14"/>
      <c r="H670" s="14"/>
      <c r="I670" s="14"/>
      <c r="J670" s="3"/>
      <c r="K670" s="3"/>
      <c r="L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x14ac:dyDescent="0.2">
      <c r="A671" s="3"/>
      <c r="B671" s="14"/>
      <c r="C671" s="14"/>
      <c r="D671" s="14"/>
      <c r="E671" s="14"/>
      <c r="F671" s="14"/>
      <c r="G671" s="14"/>
      <c r="H671" s="14"/>
      <c r="I671" s="14"/>
      <c r="J671" s="3"/>
      <c r="K671" s="3"/>
      <c r="L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x14ac:dyDescent="0.2">
      <c r="A672" s="3"/>
      <c r="B672" s="14"/>
      <c r="C672" s="14"/>
      <c r="D672" s="14"/>
      <c r="E672" s="14"/>
      <c r="F672" s="14"/>
      <c r="G672" s="14"/>
      <c r="H672" s="14"/>
      <c r="I672" s="14"/>
      <c r="J672" s="3"/>
      <c r="K672" s="3"/>
      <c r="L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x14ac:dyDescent="0.2">
      <c r="A673" s="3"/>
      <c r="B673" s="14"/>
      <c r="C673" s="14"/>
      <c r="D673" s="14"/>
      <c r="E673" s="14"/>
      <c r="F673" s="14"/>
      <c r="G673" s="14"/>
      <c r="H673" s="14"/>
      <c r="I673" s="14"/>
      <c r="J673" s="3"/>
      <c r="K673" s="3"/>
      <c r="L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x14ac:dyDescent="0.2">
      <c r="A674" s="3"/>
      <c r="B674" s="14"/>
      <c r="C674" s="14"/>
      <c r="D674" s="14"/>
      <c r="E674" s="14"/>
      <c r="F674" s="14"/>
      <c r="G674" s="14"/>
      <c r="H674" s="14"/>
      <c r="I674" s="14"/>
      <c r="J674" s="3"/>
      <c r="K674" s="3"/>
      <c r="L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x14ac:dyDescent="0.2">
      <c r="A675" s="3"/>
      <c r="B675" s="14"/>
      <c r="C675" s="14"/>
      <c r="D675" s="14"/>
      <c r="E675" s="14"/>
      <c r="F675" s="14"/>
      <c r="G675" s="14"/>
      <c r="H675" s="14"/>
      <c r="I675" s="14"/>
      <c r="J675" s="3"/>
      <c r="K675" s="3"/>
      <c r="L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x14ac:dyDescent="0.2">
      <c r="A676" s="3"/>
      <c r="B676" s="14"/>
      <c r="C676" s="14"/>
      <c r="D676" s="14"/>
      <c r="E676" s="14"/>
      <c r="F676" s="14"/>
      <c r="G676" s="14"/>
      <c r="H676" s="14"/>
      <c r="I676" s="14"/>
      <c r="J676" s="3"/>
      <c r="K676" s="3"/>
      <c r="L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x14ac:dyDescent="0.2">
      <c r="A677" s="3"/>
      <c r="B677" s="14"/>
      <c r="C677" s="14"/>
      <c r="D677" s="14"/>
      <c r="E677" s="14"/>
      <c r="F677" s="14"/>
      <c r="G677" s="14"/>
      <c r="H677" s="14"/>
      <c r="I677" s="14"/>
      <c r="J677" s="3"/>
      <c r="K677" s="3"/>
      <c r="L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x14ac:dyDescent="0.2">
      <c r="A678" s="3"/>
      <c r="B678" s="14"/>
      <c r="C678" s="14"/>
      <c r="D678" s="14"/>
      <c r="E678" s="14"/>
      <c r="F678" s="14"/>
      <c r="G678" s="14"/>
      <c r="H678" s="14"/>
      <c r="I678" s="14"/>
      <c r="J678" s="3"/>
      <c r="K678" s="3"/>
      <c r="L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x14ac:dyDescent="0.2">
      <c r="A679" s="3"/>
      <c r="B679" s="14"/>
      <c r="C679" s="14"/>
      <c r="D679" s="14"/>
      <c r="E679" s="14"/>
      <c r="F679" s="14"/>
      <c r="G679" s="14"/>
      <c r="H679" s="14"/>
      <c r="I679" s="14"/>
      <c r="J679" s="3"/>
      <c r="K679" s="3"/>
      <c r="L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x14ac:dyDescent="0.2">
      <c r="A680" s="3"/>
      <c r="B680" s="14"/>
      <c r="C680" s="14"/>
      <c r="D680" s="14"/>
      <c r="E680" s="14"/>
      <c r="F680" s="14"/>
      <c r="G680" s="14"/>
      <c r="H680" s="14"/>
      <c r="I680" s="14"/>
      <c r="J680" s="3"/>
      <c r="K680" s="3"/>
      <c r="L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x14ac:dyDescent="0.2">
      <c r="A681" s="3"/>
      <c r="B681" s="14"/>
      <c r="C681" s="14"/>
      <c r="D681" s="14"/>
      <c r="E681" s="14"/>
      <c r="F681" s="14"/>
      <c r="G681" s="14"/>
      <c r="H681" s="14"/>
      <c r="I681" s="14"/>
      <c r="J681" s="3"/>
      <c r="K681" s="3"/>
      <c r="L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x14ac:dyDescent="0.2">
      <c r="A682" s="3"/>
      <c r="B682" s="14"/>
      <c r="C682" s="14"/>
      <c r="D682" s="14"/>
      <c r="E682" s="14"/>
      <c r="F682" s="14"/>
      <c r="G682" s="14"/>
      <c r="H682" s="14"/>
      <c r="I682" s="14"/>
      <c r="J682" s="3"/>
      <c r="K682" s="3"/>
      <c r="L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x14ac:dyDescent="0.2">
      <c r="A683" s="3"/>
      <c r="B683" s="14"/>
      <c r="C683" s="14"/>
      <c r="D683" s="14"/>
      <c r="E683" s="14"/>
      <c r="F683" s="14"/>
      <c r="G683" s="14"/>
      <c r="H683" s="14"/>
      <c r="I683" s="14"/>
      <c r="J683" s="3"/>
      <c r="K683" s="3"/>
      <c r="L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x14ac:dyDescent="0.2">
      <c r="A684" s="3"/>
      <c r="B684" s="14"/>
      <c r="C684" s="14"/>
      <c r="D684" s="14"/>
      <c r="E684" s="14"/>
      <c r="F684" s="14"/>
      <c r="G684" s="14"/>
      <c r="H684" s="14"/>
      <c r="I684" s="14"/>
      <c r="J684" s="3"/>
      <c r="K684" s="3"/>
      <c r="L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x14ac:dyDescent="0.2">
      <c r="A685" s="3"/>
      <c r="B685" s="14"/>
      <c r="C685" s="14"/>
      <c r="D685" s="14"/>
      <c r="E685" s="14"/>
      <c r="F685" s="14"/>
      <c r="G685" s="14"/>
      <c r="H685" s="14"/>
      <c r="I685" s="14"/>
      <c r="J685" s="3"/>
      <c r="K685" s="3"/>
      <c r="L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x14ac:dyDescent="0.2">
      <c r="A686" s="3"/>
      <c r="B686" s="14"/>
      <c r="C686" s="14"/>
      <c r="D686" s="14"/>
      <c r="E686" s="14"/>
      <c r="F686" s="14"/>
      <c r="G686" s="14"/>
      <c r="H686" s="14"/>
      <c r="I686" s="14"/>
      <c r="J686" s="3"/>
      <c r="K686" s="3"/>
      <c r="L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x14ac:dyDescent="0.2">
      <c r="A687" s="3"/>
      <c r="B687" s="14"/>
      <c r="C687" s="14"/>
      <c r="D687" s="14"/>
      <c r="E687" s="14"/>
      <c r="F687" s="14"/>
      <c r="G687" s="14"/>
      <c r="H687" s="14"/>
      <c r="I687" s="14"/>
      <c r="J687" s="3"/>
      <c r="K687" s="3"/>
      <c r="L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x14ac:dyDescent="0.2">
      <c r="A688" s="3"/>
      <c r="B688" s="14"/>
      <c r="C688" s="14"/>
      <c r="D688" s="14"/>
      <c r="E688" s="14"/>
      <c r="F688" s="14"/>
      <c r="G688" s="14"/>
      <c r="H688" s="14"/>
      <c r="I688" s="14"/>
      <c r="J688" s="3"/>
      <c r="K688" s="3"/>
      <c r="L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x14ac:dyDescent="0.2">
      <c r="A689" s="3"/>
      <c r="B689" s="14"/>
      <c r="C689" s="14"/>
      <c r="D689" s="14"/>
      <c r="E689" s="14"/>
      <c r="F689" s="14"/>
      <c r="G689" s="14"/>
      <c r="H689" s="14"/>
      <c r="I689" s="14"/>
      <c r="J689" s="3"/>
      <c r="K689" s="3"/>
      <c r="L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x14ac:dyDescent="0.2">
      <c r="A690" s="3"/>
      <c r="B690" s="14"/>
      <c r="C690" s="14"/>
      <c r="D690" s="14"/>
      <c r="E690" s="14"/>
      <c r="F690" s="14"/>
      <c r="G690" s="14"/>
      <c r="H690" s="14"/>
      <c r="I690" s="14"/>
      <c r="J690" s="3"/>
      <c r="K690" s="3"/>
      <c r="L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x14ac:dyDescent="0.2">
      <c r="A691" s="3"/>
      <c r="B691" s="14"/>
      <c r="C691" s="14"/>
      <c r="D691" s="14"/>
      <c r="E691" s="14"/>
      <c r="F691" s="14"/>
      <c r="G691" s="14"/>
      <c r="H691" s="14"/>
      <c r="I691" s="14"/>
      <c r="J691" s="3"/>
      <c r="K691" s="3"/>
      <c r="L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x14ac:dyDescent="0.2">
      <c r="A692" s="3"/>
      <c r="B692" s="14"/>
      <c r="C692" s="14"/>
      <c r="D692" s="14"/>
      <c r="E692" s="14"/>
      <c r="F692" s="14"/>
      <c r="G692" s="14"/>
      <c r="H692" s="14"/>
      <c r="I692" s="14"/>
      <c r="J692" s="3"/>
      <c r="K692" s="3"/>
      <c r="L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x14ac:dyDescent="0.2">
      <c r="A693" s="3"/>
      <c r="B693" s="14"/>
      <c r="C693" s="14"/>
      <c r="D693" s="14"/>
      <c r="E693" s="14"/>
      <c r="F693" s="14"/>
      <c r="G693" s="14"/>
      <c r="H693" s="14"/>
      <c r="I693" s="14"/>
      <c r="J693" s="3"/>
      <c r="K693" s="3"/>
      <c r="L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x14ac:dyDescent="0.2">
      <c r="A694" s="3"/>
      <c r="B694" s="14"/>
      <c r="C694" s="14"/>
      <c r="D694" s="14"/>
      <c r="E694" s="14"/>
      <c r="F694" s="14"/>
      <c r="G694" s="14"/>
      <c r="H694" s="14"/>
      <c r="I694" s="14"/>
      <c r="J694" s="3"/>
      <c r="K694" s="3"/>
      <c r="L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x14ac:dyDescent="0.2">
      <c r="A695" s="3"/>
      <c r="B695" s="14"/>
      <c r="C695" s="14"/>
      <c r="D695" s="14"/>
      <c r="E695" s="14"/>
      <c r="F695" s="14"/>
      <c r="G695" s="14"/>
      <c r="H695" s="14"/>
      <c r="I695" s="14"/>
      <c r="J695" s="3"/>
      <c r="K695" s="3"/>
      <c r="L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x14ac:dyDescent="0.2">
      <c r="A696" s="3"/>
      <c r="B696" s="14"/>
      <c r="C696" s="14"/>
      <c r="D696" s="14"/>
      <c r="E696" s="14"/>
      <c r="F696" s="14"/>
      <c r="G696" s="14"/>
      <c r="H696" s="14"/>
      <c r="I696" s="14"/>
      <c r="J696" s="3"/>
      <c r="K696" s="3"/>
      <c r="L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x14ac:dyDescent="0.2">
      <c r="A697" s="3"/>
      <c r="B697" s="14"/>
      <c r="C697" s="14"/>
      <c r="D697" s="14"/>
      <c r="E697" s="14"/>
      <c r="F697" s="14"/>
      <c r="G697" s="14"/>
      <c r="H697" s="14"/>
      <c r="I697" s="14"/>
      <c r="J697" s="3"/>
      <c r="K697" s="3"/>
      <c r="L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x14ac:dyDescent="0.2">
      <c r="A698" s="3"/>
      <c r="B698" s="14"/>
      <c r="C698" s="14"/>
      <c r="D698" s="14"/>
      <c r="E698" s="14"/>
      <c r="F698" s="14"/>
      <c r="G698" s="14"/>
      <c r="H698" s="14"/>
      <c r="I698" s="14"/>
      <c r="J698" s="3"/>
      <c r="K698" s="3"/>
      <c r="L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x14ac:dyDescent="0.2">
      <c r="A699" s="3"/>
      <c r="B699" s="14"/>
      <c r="C699" s="14"/>
      <c r="D699" s="14"/>
      <c r="E699" s="14"/>
      <c r="F699" s="14"/>
      <c r="G699" s="14"/>
      <c r="H699" s="14"/>
      <c r="I699" s="14"/>
      <c r="J699" s="3"/>
      <c r="K699" s="3"/>
      <c r="L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x14ac:dyDescent="0.2">
      <c r="A700" s="3"/>
      <c r="B700" s="14"/>
      <c r="C700" s="14"/>
      <c r="D700" s="14"/>
      <c r="E700" s="14"/>
      <c r="F700" s="14"/>
      <c r="G700" s="14"/>
      <c r="H700" s="14"/>
      <c r="I700" s="14"/>
      <c r="J700" s="3"/>
      <c r="K700" s="3"/>
      <c r="L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x14ac:dyDescent="0.2">
      <c r="A701" s="3"/>
      <c r="B701" s="14"/>
      <c r="C701" s="14"/>
      <c r="D701" s="14"/>
      <c r="E701" s="14"/>
      <c r="F701" s="14"/>
      <c r="G701" s="14"/>
      <c r="H701" s="14"/>
      <c r="I701" s="14"/>
      <c r="J701" s="3"/>
      <c r="K701" s="3"/>
      <c r="L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x14ac:dyDescent="0.2">
      <c r="A702" s="3"/>
      <c r="B702" s="14"/>
      <c r="C702" s="14"/>
      <c r="D702" s="14"/>
      <c r="E702" s="14"/>
      <c r="F702" s="14"/>
      <c r="G702" s="14"/>
      <c r="H702" s="14"/>
      <c r="I702" s="14"/>
      <c r="J702" s="3"/>
      <c r="K702" s="3"/>
      <c r="L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x14ac:dyDescent="0.2">
      <c r="A703" s="3"/>
      <c r="B703" s="14"/>
      <c r="C703" s="14"/>
      <c r="D703" s="14"/>
      <c r="E703" s="14"/>
      <c r="F703" s="14"/>
      <c r="G703" s="14"/>
      <c r="H703" s="14"/>
      <c r="I703" s="14"/>
      <c r="J703" s="3"/>
      <c r="K703" s="3"/>
      <c r="L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x14ac:dyDescent="0.2">
      <c r="A704" s="3"/>
      <c r="B704" s="14"/>
      <c r="C704" s="14"/>
      <c r="D704" s="14"/>
      <c r="E704" s="14"/>
      <c r="F704" s="14"/>
      <c r="G704" s="14"/>
      <c r="H704" s="14"/>
      <c r="I704" s="14"/>
      <c r="J704" s="3"/>
      <c r="K704" s="3"/>
      <c r="L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x14ac:dyDescent="0.2">
      <c r="A705" s="3"/>
      <c r="B705" s="14"/>
      <c r="C705" s="14"/>
      <c r="D705" s="14"/>
      <c r="E705" s="14"/>
      <c r="F705" s="14"/>
      <c r="G705" s="14"/>
      <c r="H705" s="14"/>
      <c r="I705" s="14"/>
      <c r="J705" s="3"/>
      <c r="K705" s="3"/>
      <c r="L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x14ac:dyDescent="0.2">
      <c r="A706" s="3"/>
      <c r="B706" s="14"/>
      <c r="C706" s="14"/>
      <c r="D706" s="14"/>
      <c r="E706" s="14"/>
      <c r="F706" s="14"/>
      <c r="G706" s="14"/>
      <c r="H706" s="14"/>
      <c r="I706" s="14"/>
      <c r="J706" s="3"/>
      <c r="K706" s="3"/>
      <c r="L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x14ac:dyDescent="0.2">
      <c r="A707" s="3"/>
      <c r="B707" s="14"/>
      <c r="C707" s="14"/>
      <c r="D707" s="14"/>
      <c r="E707" s="14"/>
      <c r="F707" s="14"/>
      <c r="G707" s="14"/>
      <c r="H707" s="14"/>
      <c r="I707" s="14"/>
      <c r="J707" s="3"/>
      <c r="K707" s="3"/>
      <c r="L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x14ac:dyDescent="0.2">
      <c r="A708" s="3"/>
      <c r="B708" s="14"/>
      <c r="C708" s="14"/>
      <c r="D708" s="14"/>
      <c r="E708" s="14"/>
      <c r="F708" s="14"/>
      <c r="G708" s="14"/>
      <c r="H708" s="14"/>
      <c r="I708" s="14"/>
      <c r="J708" s="3"/>
      <c r="K708" s="3"/>
      <c r="L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x14ac:dyDescent="0.2">
      <c r="A709" s="3"/>
      <c r="B709" s="14"/>
      <c r="C709" s="14"/>
      <c r="D709" s="14"/>
      <c r="E709" s="14"/>
      <c r="F709" s="14"/>
      <c r="G709" s="14"/>
      <c r="H709" s="14"/>
      <c r="I709" s="14"/>
      <c r="J709" s="3"/>
      <c r="K709" s="3"/>
      <c r="L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x14ac:dyDescent="0.2">
      <c r="A710" s="3"/>
      <c r="B710" s="14"/>
      <c r="C710" s="14"/>
      <c r="D710" s="14"/>
      <c r="E710" s="14"/>
      <c r="F710" s="14"/>
      <c r="G710" s="14"/>
      <c r="H710" s="14"/>
      <c r="I710" s="14"/>
      <c r="J710" s="3"/>
      <c r="K710" s="3"/>
      <c r="L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x14ac:dyDescent="0.2">
      <c r="A711" s="3"/>
      <c r="B711" s="14"/>
      <c r="C711" s="14"/>
      <c r="D711" s="14"/>
      <c r="E711" s="14"/>
      <c r="F711" s="14"/>
      <c r="G711" s="14"/>
      <c r="H711" s="14"/>
      <c r="I711" s="14"/>
      <c r="J711" s="3"/>
      <c r="K711" s="3"/>
      <c r="L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x14ac:dyDescent="0.2">
      <c r="A712" s="3"/>
      <c r="B712" s="14"/>
      <c r="C712" s="14"/>
      <c r="D712" s="14"/>
      <c r="E712" s="14"/>
      <c r="F712" s="14"/>
      <c r="G712" s="14"/>
      <c r="H712" s="14"/>
      <c r="I712" s="14"/>
      <c r="J712" s="3"/>
      <c r="K712" s="3"/>
      <c r="L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x14ac:dyDescent="0.2">
      <c r="A713" s="3"/>
      <c r="B713" s="14"/>
      <c r="C713" s="14"/>
      <c r="D713" s="14"/>
      <c r="E713" s="14"/>
      <c r="F713" s="14"/>
      <c r="G713" s="14"/>
      <c r="H713" s="14"/>
      <c r="I713" s="14"/>
      <c r="J713" s="3"/>
      <c r="K713" s="3"/>
      <c r="L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x14ac:dyDescent="0.2">
      <c r="A714" s="3"/>
      <c r="B714" s="14"/>
      <c r="C714" s="14"/>
      <c r="D714" s="14"/>
      <c r="E714" s="14"/>
      <c r="F714" s="14"/>
      <c r="G714" s="14"/>
      <c r="H714" s="14"/>
      <c r="I714" s="14"/>
      <c r="J714" s="3"/>
      <c r="K714" s="3"/>
      <c r="L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x14ac:dyDescent="0.2">
      <c r="A715" s="3"/>
      <c r="B715" s="14"/>
      <c r="C715" s="14"/>
      <c r="D715" s="14"/>
      <c r="E715" s="14"/>
      <c r="F715" s="14"/>
      <c r="G715" s="14"/>
      <c r="H715" s="14"/>
      <c r="I715" s="14"/>
      <c r="J715" s="3"/>
      <c r="K715" s="3"/>
      <c r="L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x14ac:dyDescent="0.2">
      <c r="A716" s="3"/>
      <c r="B716" s="14"/>
      <c r="C716" s="14"/>
      <c r="D716" s="14"/>
      <c r="E716" s="14"/>
      <c r="F716" s="14"/>
      <c r="G716" s="14"/>
      <c r="H716" s="14"/>
      <c r="I716" s="14"/>
      <c r="J716" s="3"/>
      <c r="K716" s="3"/>
      <c r="L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x14ac:dyDescent="0.2">
      <c r="A717" s="3"/>
      <c r="B717" s="14"/>
      <c r="C717" s="14"/>
      <c r="D717" s="14"/>
      <c r="E717" s="14"/>
      <c r="F717" s="14"/>
      <c r="G717" s="14"/>
      <c r="H717" s="14"/>
      <c r="I717" s="14"/>
      <c r="J717" s="3"/>
      <c r="K717" s="3"/>
      <c r="L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x14ac:dyDescent="0.2">
      <c r="A718" s="3"/>
      <c r="B718" s="14"/>
      <c r="C718" s="14"/>
      <c r="D718" s="14"/>
      <c r="E718" s="14"/>
      <c r="F718" s="14"/>
      <c r="G718" s="14"/>
      <c r="H718" s="14"/>
      <c r="I718" s="14"/>
      <c r="J718" s="3"/>
      <c r="K718" s="3"/>
      <c r="L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x14ac:dyDescent="0.2">
      <c r="A719" s="3"/>
      <c r="B719" s="14"/>
      <c r="C719" s="14"/>
      <c r="D719" s="14"/>
      <c r="E719" s="14"/>
      <c r="F719" s="14"/>
      <c r="G719" s="14"/>
      <c r="H719" s="14"/>
      <c r="I719" s="14"/>
      <c r="J719" s="3"/>
      <c r="K719" s="3"/>
      <c r="L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x14ac:dyDescent="0.2">
      <c r="A720" s="3"/>
      <c r="B720" s="14"/>
      <c r="C720" s="14"/>
      <c r="D720" s="14"/>
      <c r="E720" s="14"/>
      <c r="F720" s="14"/>
      <c r="G720" s="14"/>
      <c r="H720" s="14"/>
      <c r="I720" s="14"/>
      <c r="J720" s="3"/>
      <c r="K720" s="3"/>
      <c r="L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x14ac:dyDescent="0.2">
      <c r="A721" s="3"/>
      <c r="B721" s="14"/>
      <c r="C721" s="14"/>
      <c r="D721" s="14"/>
      <c r="E721" s="14"/>
      <c r="F721" s="14"/>
      <c r="G721" s="14"/>
      <c r="H721" s="14"/>
      <c r="I721" s="14"/>
      <c r="J721" s="3"/>
      <c r="K721" s="3"/>
      <c r="L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x14ac:dyDescent="0.2">
      <c r="A722" s="3"/>
      <c r="B722" s="14"/>
      <c r="C722" s="14"/>
      <c r="D722" s="14"/>
      <c r="E722" s="14"/>
      <c r="F722" s="14"/>
      <c r="G722" s="14"/>
      <c r="H722" s="14"/>
      <c r="I722" s="14"/>
      <c r="J722" s="3"/>
      <c r="K722" s="3"/>
      <c r="L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x14ac:dyDescent="0.2">
      <c r="A723" s="3"/>
      <c r="B723" s="14"/>
      <c r="C723" s="14"/>
      <c r="D723" s="14"/>
      <c r="E723" s="14"/>
      <c r="F723" s="14"/>
      <c r="G723" s="14"/>
      <c r="H723" s="14"/>
      <c r="I723" s="14"/>
      <c r="J723" s="3"/>
      <c r="K723" s="3"/>
      <c r="L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x14ac:dyDescent="0.2">
      <c r="A724" s="3"/>
      <c r="B724" s="14"/>
      <c r="C724" s="14"/>
      <c r="D724" s="14"/>
      <c r="E724" s="14"/>
      <c r="F724" s="14"/>
      <c r="G724" s="14"/>
      <c r="H724" s="14"/>
      <c r="I724" s="14"/>
      <c r="J724" s="3"/>
      <c r="K724" s="3"/>
      <c r="L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x14ac:dyDescent="0.2">
      <c r="A725" s="3"/>
      <c r="B725" s="14"/>
      <c r="C725" s="14"/>
      <c r="D725" s="14"/>
      <c r="E725" s="14"/>
      <c r="F725" s="14"/>
      <c r="G725" s="14"/>
      <c r="H725" s="14"/>
      <c r="I725" s="14"/>
      <c r="J725" s="3"/>
      <c r="K725" s="3"/>
      <c r="L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x14ac:dyDescent="0.2">
      <c r="A726" s="3"/>
      <c r="B726" s="14"/>
      <c r="C726" s="14"/>
      <c r="D726" s="14"/>
      <c r="E726" s="14"/>
      <c r="F726" s="14"/>
      <c r="G726" s="14"/>
      <c r="H726" s="14"/>
      <c r="I726" s="14"/>
      <c r="J726" s="3"/>
      <c r="K726" s="3"/>
      <c r="L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x14ac:dyDescent="0.2">
      <c r="A727" s="3"/>
      <c r="B727" s="14"/>
      <c r="C727" s="14"/>
      <c r="D727" s="14"/>
      <c r="E727" s="14"/>
      <c r="F727" s="14"/>
      <c r="G727" s="14"/>
      <c r="H727" s="14"/>
      <c r="I727" s="14"/>
      <c r="J727" s="3"/>
      <c r="K727" s="3"/>
      <c r="L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x14ac:dyDescent="0.2">
      <c r="A728" s="3"/>
      <c r="B728" s="14"/>
      <c r="C728" s="14"/>
      <c r="D728" s="14"/>
      <c r="E728" s="14"/>
      <c r="F728" s="14"/>
      <c r="G728" s="14"/>
      <c r="H728" s="14"/>
      <c r="I728" s="14"/>
      <c r="J728" s="3"/>
      <c r="K728" s="3"/>
      <c r="L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x14ac:dyDescent="0.2">
      <c r="A729" s="3"/>
      <c r="B729" s="14"/>
      <c r="C729" s="14"/>
      <c r="D729" s="14"/>
      <c r="E729" s="14"/>
      <c r="F729" s="14"/>
      <c r="G729" s="14"/>
      <c r="H729" s="14"/>
      <c r="I729" s="14"/>
      <c r="J729" s="3"/>
      <c r="K729" s="3"/>
      <c r="L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x14ac:dyDescent="0.2">
      <c r="A730" s="3"/>
      <c r="B730" s="14"/>
      <c r="C730" s="14"/>
      <c r="D730" s="14"/>
      <c r="E730" s="14"/>
      <c r="F730" s="14"/>
      <c r="G730" s="14"/>
      <c r="H730" s="14"/>
      <c r="I730" s="14"/>
      <c r="J730" s="3"/>
      <c r="K730" s="3"/>
      <c r="L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x14ac:dyDescent="0.2">
      <c r="A731" s="3"/>
      <c r="B731" s="14"/>
      <c r="C731" s="14"/>
      <c r="D731" s="14"/>
      <c r="E731" s="14"/>
      <c r="F731" s="14"/>
      <c r="G731" s="14"/>
      <c r="H731" s="14"/>
      <c r="I731" s="14"/>
      <c r="J731" s="3"/>
      <c r="K731" s="3"/>
      <c r="L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x14ac:dyDescent="0.2">
      <c r="A732" s="3"/>
      <c r="B732" s="14"/>
      <c r="C732" s="14"/>
      <c r="D732" s="14"/>
      <c r="E732" s="14"/>
      <c r="F732" s="14"/>
      <c r="G732" s="14"/>
      <c r="H732" s="14"/>
      <c r="I732" s="14"/>
      <c r="J732" s="3"/>
      <c r="K732" s="3"/>
      <c r="L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x14ac:dyDescent="0.2">
      <c r="A733" s="3"/>
      <c r="B733" s="14"/>
      <c r="C733" s="14"/>
      <c r="D733" s="14"/>
      <c r="E733" s="14"/>
      <c r="F733" s="14"/>
      <c r="G733" s="14"/>
      <c r="H733" s="14"/>
      <c r="I733" s="14"/>
      <c r="J733" s="3"/>
      <c r="K733" s="3"/>
      <c r="L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x14ac:dyDescent="0.2">
      <c r="A734" s="3"/>
      <c r="B734" s="14"/>
      <c r="C734" s="14"/>
      <c r="D734" s="14"/>
      <c r="E734" s="14"/>
      <c r="F734" s="14"/>
      <c r="G734" s="14"/>
      <c r="H734" s="14"/>
      <c r="I734" s="14"/>
      <c r="J734" s="3"/>
      <c r="K734" s="3"/>
      <c r="L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x14ac:dyDescent="0.2">
      <c r="A735" s="3"/>
      <c r="B735" s="14"/>
      <c r="C735" s="14"/>
      <c r="D735" s="14"/>
      <c r="E735" s="14"/>
      <c r="F735" s="14"/>
      <c r="G735" s="14"/>
      <c r="H735" s="14"/>
      <c r="I735" s="14"/>
      <c r="J735" s="3"/>
      <c r="K735" s="3"/>
      <c r="L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x14ac:dyDescent="0.2">
      <c r="A736" s="3"/>
      <c r="B736" s="14"/>
      <c r="C736" s="14"/>
      <c r="D736" s="14"/>
      <c r="E736" s="14"/>
      <c r="F736" s="14"/>
      <c r="G736" s="14"/>
      <c r="H736" s="14"/>
      <c r="I736" s="14"/>
      <c r="J736" s="3"/>
      <c r="K736" s="3"/>
      <c r="L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x14ac:dyDescent="0.2">
      <c r="A737" s="3"/>
      <c r="B737" s="14"/>
      <c r="C737" s="14"/>
      <c r="D737" s="14"/>
      <c r="E737" s="14"/>
      <c r="F737" s="14"/>
      <c r="G737" s="14"/>
      <c r="H737" s="14"/>
      <c r="I737" s="14"/>
      <c r="J737" s="3"/>
      <c r="K737" s="3"/>
      <c r="L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x14ac:dyDescent="0.2">
      <c r="A738" s="3"/>
      <c r="B738" s="14"/>
      <c r="C738" s="14"/>
      <c r="D738" s="14"/>
      <c r="E738" s="14"/>
      <c r="F738" s="14"/>
      <c r="G738" s="14"/>
      <c r="H738" s="14"/>
      <c r="I738" s="14"/>
      <c r="J738" s="3"/>
      <c r="K738" s="3"/>
      <c r="L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x14ac:dyDescent="0.2">
      <c r="A739" s="3"/>
      <c r="B739" s="14"/>
      <c r="C739" s="14"/>
      <c r="D739" s="14"/>
      <c r="E739" s="14"/>
      <c r="F739" s="14"/>
      <c r="G739" s="14"/>
      <c r="H739" s="14"/>
      <c r="I739" s="14"/>
      <c r="J739" s="3"/>
      <c r="K739" s="3"/>
      <c r="L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x14ac:dyDescent="0.2">
      <c r="A740" s="3"/>
      <c r="B740" s="14"/>
      <c r="C740" s="14"/>
      <c r="D740" s="14"/>
      <c r="E740" s="14"/>
      <c r="F740" s="14"/>
      <c r="G740" s="14"/>
      <c r="H740" s="14"/>
      <c r="I740" s="14"/>
      <c r="J740" s="3"/>
      <c r="K740" s="3"/>
      <c r="L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x14ac:dyDescent="0.2">
      <c r="A741" s="3"/>
      <c r="B741" s="14"/>
      <c r="C741" s="14"/>
      <c r="D741" s="14"/>
      <c r="E741" s="14"/>
      <c r="F741" s="14"/>
      <c r="G741" s="14"/>
      <c r="H741" s="14"/>
      <c r="I741" s="14"/>
      <c r="J741" s="3"/>
      <c r="K741" s="3"/>
      <c r="L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x14ac:dyDescent="0.2">
      <c r="A742" s="3"/>
      <c r="B742" s="14"/>
      <c r="C742" s="14"/>
      <c r="D742" s="14"/>
      <c r="E742" s="14"/>
      <c r="F742" s="14"/>
      <c r="G742" s="14"/>
      <c r="H742" s="14"/>
      <c r="I742" s="14"/>
      <c r="J742" s="3"/>
      <c r="K742" s="3"/>
      <c r="L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x14ac:dyDescent="0.2">
      <c r="A743" s="3"/>
      <c r="B743" s="14"/>
      <c r="C743" s="14"/>
      <c r="D743" s="14"/>
      <c r="E743" s="14"/>
      <c r="F743" s="14"/>
      <c r="G743" s="14"/>
      <c r="H743" s="14"/>
      <c r="I743" s="14"/>
      <c r="J743" s="3"/>
      <c r="K743" s="3"/>
      <c r="L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x14ac:dyDescent="0.2">
      <c r="A744" s="3"/>
      <c r="B744" s="14"/>
      <c r="C744" s="14"/>
      <c r="D744" s="14"/>
      <c r="E744" s="14"/>
      <c r="F744" s="14"/>
      <c r="G744" s="14"/>
      <c r="H744" s="14"/>
      <c r="I744" s="14"/>
      <c r="J744" s="3"/>
      <c r="K744" s="3"/>
      <c r="L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x14ac:dyDescent="0.2">
      <c r="A745" s="3"/>
      <c r="B745" s="14"/>
      <c r="C745" s="14"/>
      <c r="D745" s="14"/>
      <c r="E745" s="14"/>
      <c r="F745" s="14"/>
      <c r="G745" s="14"/>
      <c r="H745" s="14"/>
      <c r="I745" s="14"/>
      <c r="J745" s="3"/>
      <c r="K745" s="3"/>
      <c r="L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x14ac:dyDescent="0.2">
      <c r="A746" s="3"/>
      <c r="B746" s="14"/>
      <c r="C746" s="14"/>
      <c r="D746" s="14"/>
      <c r="E746" s="14"/>
      <c r="F746" s="14"/>
      <c r="G746" s="14"/>
      <c r="H746" s="14"/>
      <c r="I746" s="14"/>
      <c r="J746" s="3"/>
      <c r="K746" s="3"/>
      <c r="L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x14ac:dyDescent="0.2">
      <c r="A747" s="3"/>
      <c r="B747" s="14"/>
      <c r="C747" s="14"/>
      <c r="D747" s="14"/>
      <c r="E747" s="14"/>
      <c r="F747" s="14"/>
      <c r="G747" s="14"/>
      <c r="H747" s="14"/>
      <c r="I747" s="14"/>
      <c r="J747" s="3"/>
      <c r="K747" s="3"/>
      <c r="L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x14ac:dyDescent="0.2">
      <c r="A748" s="3"/>
      <c r="B748" s="14"/>
      <c r="C748" s="14"/>
      <c r="D748" s="14"/>
      <c r="E748" s="14"/>
      <c r="F748" s="14"/>
      <c r="G748" s="14"/>
      <c r="H748" s="14"/>
      <c r="I748" s="14"/>
      <c r="J748" s="3"/>
      <c r="K748" s="3"/>
      <c r="L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x14ac:dyDescent="0.2">
      <c r="A749" s="3"/>
      <c r="B749" s="14"/>
      <c r="C749" s="14"/>
      <c r="D749" s="14"/>
      <c r="E749" s="14"/>
      <c r="F749" s="14"/>
      <c r="G749" s="14"/>
      <c r="H749" s="14"/>
      <c r="I749" s="14"/>
      <c r="J749" s="3"/>
      <c r="K749" s="3"/>
      <c r="L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x14ac:dyDescent="0.2">
      <c r="A750" s="3"/>
      <c r="B750" s="14"/>
      <c r="C750" s="14"/>
      <c r="D750" s="14"/>
      <c r="E750" s="14"/>
      <c r="F750" s="14"/>
      <c r="G750" s="14"/>
      <c r="H750" s="14"/>
      <c r="I750" s="14"/>
      <c r="J750" s="3"/>
      <c r="K750" s="3"/>
      <c r="L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x14ac:dyDescent="0.2">
      <c r="A751" s="3"/>
      <c r="B751" s="14"/>
      <c r="C751" s="14"/>
      <c r="D751" s="14"/>
      <c r="E751" s="14"/>
      <c r="F751" s="14"/>
      <c r="G751" s="14"/>
      <c r="H751" s="14"/>
      <c r="I751" s="14"/>
      <c r="J751" s="3"/>
      <c r="K751" s="3"/>
      <c r="L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x14ac:dyDescent="0.2">
      <c r="A752" s="3"/>
      <c r="B752" s="14"/>
      <c r="C752" s="14"/>
      <c r="D752" s="14"/>
      <c r="E752" s="14"/>
      <c r="F752" s="14"/>
      <c r="G752" s="14"/>
      <c r="H752" s="14"/>
      <c r="I752" s="14"/>
      <c r="J752" s="3"/>
      <c r="K752" s="3"/>
      <c r="L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x14ac:dyDescent="0.2">
      <c r="A753" s="3"/>
      <c r="B753" s="14"/>
      <c r="C753" s="14"/>
      <c r="D753" s="14"/>
      <c r="E753" s="14"/>
      <c r="F753" s="14"/>
      <c r="G753" s="14"/>
      <c r="H753" s="14"/>
      <c r="I753" s="14"/>
      <c r="J753" s="3"/>
      <c r="K753" s="3"/>
      <c r="L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x14ac:dyDescent="0.2">
      <c r="A754" s="3"/>
      <c r="B754" s="14"/>
      <c r="C754" s="14"/>
      <c r="D754" s="14"/>
      <c r="E754" s="14"/>
      <c r="F754" s="14"/>
      <c r="G754" s="14"/>
      <c r="H754" s="14"/>
      <c r="I754" s="14"/>
      <c r="J754" s="3"/>
      <c r="K754" s="3"/>
      <c r="L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x14ac:dyDescent="0.2">
      <c r="A755" s="3"/>
      <c r="B755" s="14"/>
      <c r="C755" s="14"/>
      <c r="D755" s="14"/>
      <c r="E755" s="14"/>
      <c r="F755" s="14"/>
      <c r="G755" s="14"/>
      <c r="H755" s="14"/>
      <c r="I755" s="14"/>
      <c r="J755" s="3"/>
      <c r="K755" s="3"/>
      <c r="L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x14ac:dyDescent="0.2">
      <c r="A756" s="3"/>
      <c r="B756" s="14"/>
      <c r="C756" s="14"/>
      <c r="D756" s="14"/>
      <c r="E756" s="14"/>
      <c r="F756" s="14"/>
      <c r="G756" s="14"/>
      <c r="H756" s="14"/>
      <c r="I756" s="14"/>
      <c r="J756" s="3"/>
      <c r="K756" s="3"/>
      <c r="L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x14ac:dyDescent="0.2">
      <c r="A757" s="3"/>
      <c r="B757" s="14"/>
      <c r="C757" s="14"/>
      <c r="D757" s="14"/>
      <c r="E757" s="14"/>
      <c r="F757" s="14"/>
      <c r="G757" s="14"/>
      <c r="H757" s="14"/>
      <c r="I757" s="14"/>
      <c r="J757" s="3"/>
      <c r="K757" s="3"/>
      <c r="L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x14ac:dyDescent="0.2">
      <c r="A758" s="3"/>
      <c r="B758" s="14"/>
      <c r="C758" s="14"/>
      <c r="D758" s="14"/>
      <c r="E758" s="14"/>
      <c r="F758" s="14"/>
      <c r="G758" s="14"/>
      <c r="H758" s="14"/>
      <c r="I758" s="14"/>
      <c r="J758" s="3"/>
      <c r="K758" s="3"/>
      <c r="L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x14ac:dyDescent="0.2">
      <c r="A759" s="3"/>
      <c r="B759" s="14"/>
      <c r="C759" s="14"/>
      <c r="D759" s="14"/>
      <c r="E759" s="14"/>
      <c r="F759" s="14"/>
      <c r="G759" s="14"/>
      <c r="H759" s="14"/>
      <c r="I759" s="14"/>
      <c r="J759" s="3"/>
      <c r="K759" s="3"/>
      <c r="L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x14ac:dyDescent="0.2">
      <c r="A760" s="3"/>
      <c r="B760" s="14"/>
      <c r="C760" s="14"/>
      <c r="D760" s="14"/>
      <c r="E760" s="14"/>
      <c r="F760" s="14"/>
      <c r="G760" s="14"/>
      <c r="H760" s="14"/>
      <c r="I760" s="14"/>
      <c r="J760" s="3"/>
      <c r="K760" s="3"/>
      <c r="L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x14ac:dyDescent="0.2">
      <c r="A761" s="3"/>
      <c r="B761" s="14"/>
      <c r="C761" s="14"/>
      <c r="D761" s="14"/>
      <c r="E761" s="14"/>
      <c r="F761" s="14"/>
      <c r="G761" s="14"/>
      <c r="H761" s="14"/>
      <c r="I761" s="14"/>
      <c r="J761" s="3"/>
      <c r="K761" s="3"/>
      <c r="L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x14ac:dyDescent="0.2">
      <c r="A762" s="3"/>
      <c r="B762" s="14"/>
      <c r="C762" s="14"/>
      <c r="D762" s="14"/>
      <c r="E762" s="14"/>
      <c r="F762" s="14"/>
      <c r="G762" s="14"/>
      <c r="H762" s="14"/>
      <c r="I762" s="14"/>
      <c r="J762" s="3"/>
      <c r="K762" s="3"/>
      <c r="L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x14ac:dyDescent="0.2">
      <c r="A763" s="3"/>
      <c r="B763" s="14"/>
      <c r="C763" s="14"/>
      <c r="D763" s="14"/>
      <c r="E763" s="14"/>
      <c r="F763" s="14"/>
      <c r="G763" s="14"/>
      <c r="H763" s="14"/>
      <c r="I763" s="14"/>
      <c r="J763" s="3"/>
      <c r="K763" s="3"/>
      <c r="L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x14ac:dyDescent="0.2">
      <c r="A764" s="3"/>
      <c r="B764" s="14"/>
      <c r="C764" s="14"/>
      <c r="D764" s="14"/>
      <c r="E764" s="14"/>
      <c r="F764" s="14"/>
      <c r="G764" s="14"/>
      <c r="H764" s="14"/>
      <c r="I764" s="14"/>
      <c r="J764" s="3"/>
      <c r="K764" s="3"/>
      <c r="L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x14ac:dyDescent="0.2">
      <c r="A765" s="3"/>
      <c r="B765" s="14"/>
      <c r="C765" s="14"/>
      <c r="D765" s="14"/>
      <c r="E765" s="14"/>
      <c r="F765" s="14"/>
      <c r="G765" s="14"/>
      <c r="H765" s="14"/>
      <c r="I765" s="14"/>
      <c r="J765" s="3"/>
      <c r="K765" s="3"/>
      <c r="L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x14ac:dyDescent="0.2">
      <c r="A766" s="3"/>
      <c r="B766" s="14"/>
      <c r="C766" s="14"/>
      <c r="D766" s="14"/>
      <c r="E766" s="14"/>
      <c r="F766" s="14"/>
      <c r="G766" s="14"/>
      <c r="H766" s="14"/>
      <c r="I766" s="14"/>
      <c r="J766" s="3"/>
      <c r="K766" s="3"/>
      <c r="L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x14ac:dyDescent="0.2">
      <c r="A767" s="3"/>
      <c r="B767" s="14"/>
      <c r="C767" s="14"/>
      <c r="D767" s="14"/>
      <c r="E767" s="14"/>
      <c r="F767" s="14"/>
      <c r="G767" s="14"/>
      <c r="H767" s="14"/>
      <c r="I767" s="14"/>
      <c r="J767" s="3"/>
      <c r="K767" s="3"/>
      <c r="L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x14ac:dyDescent="0.2">
      <c r="A768" s="3"/>
      <c r="B768" s="14"/>
      <c r="C768" s="14"/>
      <c r="D768" s="14"/>
      <c r="E768" s="14"/>
      <c r="F768" s="14"/>
      <c r="G768" s="14"/>
      <c r="H768" s="14"/>
      <c r="I768" s="14"/>
      <c r="J768" s="3"/>
      <c r="K768" s="3"/>
      <c r="L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x14ac:dyDescent="0.2">
      <c r="A769" s="3"/>
      <c r="B769" s="14"/>
      <c r="C769" s="14"/>
      <c r="D769" s="14"/>
      <c r="E769" s="14"/>
      <c r="F769" s="14"/>
      <c r="G769" s="14"/>
      <c r="H769" s="14"/>
      <c r="I769" s="14"/>
      <c r="J769" s="3"/>
      <c r="K769" s="3"/>
      <c r="L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x14ac:dyDescent="0.2">
      <c r="A770" s="3"/>
      <c r="B770" s="14"/>
      <c r="C770" s="14"/>
      <c r="D770" s="14"/>
      <c r="E770" s="14"/>
      <c r="F770" s="14"/>
      <c r="G770" s="14"/>
      <c r="H770" s="14"/>
      <c r="I770" s="14"/>
      <c r="J770" s="3"/>
      <c r="K770" s="3"/>
      <c r="L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x14ac:dyDescent="0.2">
      <c r="A771" s="3"/>
      <c r="B771" s="14"/>
      <c r="C771" s="14"/>
      <c r="D771" s="14"/>
      <c r="E771" s="14"/>
      <c r="F771" s="14"/>
      <c r="G771" s="14"/>
      <c r="H771" s="14"/>
      <c r="I771" s="14"/>
      <c r="J771" s="3"/>
      <c r="K771" s="3"/>
      <c r="L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x14ac:dyDescent="0.2">
      <c r="A772" s="3"/>
      <c r="B772" s="14"/>
      <c r="C772" s="14"/>
      <c r="D772" s="14"/>
      <c r="E772" s="14"/>
      <c r="F772" s="14"/>
      <c r="G772" s="14"/>
      <c r="H772" s="14"/>
      <c r="I772" s="14"/>
      <c r="J772" s="3"/>
      <c r="K772" s="3"/>
      <c r="L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x14ac:dyDescent="0.2">
      <c r="A773" s="3"/>
      <c r="B773" s="14"/>
      <c r="C773" s="14"/>
      <c r="D773" s="14"/>
      <c r="E773" s="14"/>
      <c r="F773" s="14"/>
      <c r="G773" s="14"/>
      <c r="H773" s="14"/>
      <c r="I773" s="14"/>
      <c r="J773" s="3"/>
      <c r="K773" s="3"/>
      <c r="L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x14ac:dyDescent="0.2">
      <c r="A774" s="3"/>
      <c r="B774" s="14"/>
      <c r="C774" s="14"/>
      <c r="D774" s="14"/>
      <c r="E774" s="14"/>
      <c r="F774" s="14"/>
      <c r="G774" s="14"/>
      <c r="H774" s="14"/>
      <c r="I774" s="14"/>
      <c r="J774" s="3"/>
      <c r="K774" s="3"/>
      <c r="L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x14ac:dyDescent="0.2">
      <c r="A775" s="3"/>
      <c r="B775" s="14"/>
      <c r="C775" s="14"/>
      <c r="D775" s="14"/>
      <c r="E775" s="14"/>
      <c r="F775" s="14"/>
      <c r="G775" s="14"/>
      <c r="H775" s="14"/>
      <c r="I775" s="14"/>
      <c r="J775" s="3"/>
      <c r="K775" s="3"/>
      <c r="L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x14ac:dyDescent="0.2">
      <c r="A776" s="3"/>
      <c r="B776" s="14"/>
      <c r="C776" s="14"/>
      <c r="D776" s="14"/>
      <c r="E776" s="14"/>
      <c r="F776" s="14"/>
      <c r="G776" s="14"/>
      <c r="H776" s="14"/>
      <c r="I776" s="14"/>
      <c r="J776" s="3"/>
      <c r="K776" s="3"/>
      <c r="L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x14ac:dyDescent="0.2">
      <c r="A777" s="3"/>
      <c r="B777" s="14"/>
      <c r="C777" s="14"/>
      <c r="D777" s="14"/>
      <c r="E777" s="14"/>
      <c r="F777" s="14"/>
      <c r="G777" s="14"/>
      <c r="H777" s="14"/>
      <c r="I777" s="14"/>
      <c r="J777" s="3"/>
      <c r="K777" s="3"/>
      <c r="L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x14ac:dyDescent="0.2">
      <c r="A778" s="3"/>
      <c r="B778" s="14"/>
      <c r="C778" s="14"/>
      <c r="D778" s="14"/>
      <c r="E778" s="14"/>
      <c r="F778" s="14"/>
      <c r="G778" s="14"/>
      <c r="H778" s="14"/>
      <c r="I778" s="14"/>
      <c r="J778" s="3"/>
      <c r="K778" s="3"/>
      <c r="L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x14ac:dyDescent="0.2">
      <c r="A779" s="3"/>
      <c r="B779" s="14"/>
      <c r="C779" s="14"/>
      <c r="D779" s="14"/>
      <c r="E779" s="14"/>
      <c r="F779" s="14"/>
      <c r="G779" s="14"/>
      <c r="H779" s="14"/>
      <c r="I779" s="14"/>
      <c r="J779" s="3"/>
      <c r="K779" s="3"/>
      <c r="L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x14ac:dyDescent="0.2">
      <c r="A780" s="3"/>
      <c r="B780" s="14"/>
      <c r="C780" s="14"/>
      <c r="D780" s="14"/>
      <c r="E780" s="14"/>
      <c r="F780" s="14"/>
      <c r="G780" s="14"/>
      <c r="H780" s="14"/>
      <c r="I780" s="14"/>
      <c r="J780" s="3"/>
      <c r="K780" s="3"/>
      <c r="L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x14ac:dyDescent="0.2">
      <c r="A781" s="3"/>
      <c r="B781" s="14"/>
      <c r="C781" s="14"/>
      <c r="D781" s="14"/>
      <c r="E781" s="14"/>
      <c r="F781" s="14"/>
      <c r="G781" s="14"/>
      <c r="H781" s="14"/>
      <c r="I781" s="14"/>
      <c r="J781" s="3"/>
      <c r="K781" s="3"/>
      <c r="L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x14ac:dyDescent="0.2">
      <c r="A782" s="3"/>
      <c r="B782" s="14"/>
      <c r="C782" s="14"/>
      <c r="D782" s="14"/>
      <c r="E782" s="14"/>
      <c r="F782" s="14"/>
      <c r="G782" s="14"/>
      <c r="H782" s="14"/>
      <c r="I782" s="14"/>
      <c r="J782" s="3"/>
      <c r="K782" s="3"/>
      <c r="L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x14ac:dyDescent="0.2">
      <c r="A783" s="3"/>
      <c r="B783" s="14"/>
      <c r="C783" s="14"/>
      <c r="D783" s="14"/>
      <c r="E783" s="14"/>
      <c r="F783" s="14"/>
      <c r="G783" s="14"/>
      <c r="H783" s="14"/>
      <c r="I783" s="14"/>
      <c r="J783" s="3"/>
      <c r="K783" s="3"/>
      <c r="L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x14ac:dyDescent="0.2">
      <c r="A784" s="3"/>
      <c r="B784" s="14"/>
      <c r="C784" s="14"/>
      <c r="D784" s="14"/>
      <c r="E784" s="14"/>
      <c r="F784" s="14"/>
      <c r="G784" s="14"/>
      <c r="H784" s="14"/>
      <c r="I784" s="14"/>
      <c r="J784" s="3"/>
      <c r="K784" s="3"/>
      <c r="L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x14ac:dyDescent="0.2">
      <c r="A785" s="3"/>
      <c r="B785" s="14"/>
      <c r="C785" s="14"/>
      <c r="D785" s="14"/>
      <c r="E785" s="14"/>
      <c r="F785" s="14"/>
      <c r="G785" s="14"/>
      <c r="H785" s="14"/>
      <c r="I785" s="14"/>
      <c r="J785" s="3"/>
      <c r="K785" s="3"/>
      <c r="L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x14ac:dyDescent="0.2">
      <c r="A786" s="3"/>
      <c r="B786" s="14"/>
      <c r="C786" s="14"/>
      <c r="D786" s="14"/>
      <c r="E786" s="14"/>
      <c r="F786" s="14"/>
      <c r="G786" s="14"/>
      <c r="H786" s="14"/>
      <c r="I786" s="14"/>
      <c r="J786" s="3"/>
      <c r="K786" s="3"/>
      <c r="L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x14ac:dyDescent="0.2">
      <c r="A787" s="3"/>
      <c r="B787" s="14"/>
      <c r="C787" s="14"/>
      <c r="D787" s="14"/>
      <c r="E787" s="14"/>
      <c r="F787" s="14"/>
      <c r="G787" s="14"/>
      <c r="H787" s="14"/>
      <c r="I787" s="14"/>
      <c r="J787" s="3"/>
      <c r="K787" s="3"/>
      <c r="L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x14ac:dyDescent="0.2">
      <c r="A788" s="3"/>
      <c r="B788" s="14"/>
      <c r="C788" s="14"/>
      <c r="D788" s="14"/>
      <c r="E788" s="14"/>
      <c r="F788" s="14"/>
      <c r="G788" s="14"/>
      <c r="H788" s="14"/>
      <c r="I788" s="14"/>
      <c r="J788" s="3"/>
      <c r="K788" s="3"/>
      <c r="L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x14ac:dyDescent="0.2">
      <c r="A789" s="3"/>
      <c r="B789" s="14"/>
      <c r="C789" s="14"/>
      <c r="D789" s="14"/>
      <c r="E789" s="14"/>
      <c r="F789" s="14"/>
      <c r="G789" s="14"/>
      <c r="H789" s="14"/>
      <c r="I789" s="14"/>
      <c r="J789" s="3"/>
      <c r="K789" s="3"/>
      <c r="L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x14ac:dyDescent="0.2">
      <c r="A790" s="3"/>
      <c r="B790" s="14"/>
      <c r="C790" s="14"/>
      <c r="D790" s="14"/>
      <c r="E790" s="14"/>
      <c r="F790" s="14"/>
      <c r="G790" s="14"/>
      <c r="H790" s="14"/>
      <c r="I790" s="14"/>
      <c r="J790" s="3"/>
      <c r="K790" s="3"/>
      <c r="L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x14ac:dyDescent="0.2">
      <c r="A791" s="3"/>
      <c r="B791" s="14"/>
      <c r="C791" s="14"/>
      <c r="D791" s="14"/>
      <c r="E791" s="14"/>
      <c r="F791" s="14"/>
      <c r="G791" s="14"/>
      <c r="H791" s="14"/>
      <c r="I791" s="14"/>
      <c r="J791" s="3"/>
      <c r="K791" s="3"/>
      <c r="L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x14ac:dyDescent="0.2">
      <c r="A792" s="3"/>
      <c r="B792" s="14"/>
      <c r="C792" s="14"/>
      <c r="D792" s="14"/>
      <c r="E792" s="14"/>
      <c r="F792" s="14"/>
      <c r="G792" s="14"/>
      <c r="H792" s="14"/>
      <c r="I792" s="14"/>
      <c r="J792" s="3"/>
      <c r="K792" s="3"/>
      <c r="L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x14ac:dyDescent="0.2">
      <c r="A793" s="3"/>
      <c r="B793" s="14"/>
      <c r="C793" s="14"/>
      <c r="D793" s="14"/>
      <c r="E793" s="14"/>
      <c r="F793" s="14"/>
      <c r="G793" s="14"/>
      <c r="H793" s="14"/>
      <c r="I793" s="14"/>
      <c r="J793" s="3"/>
      <c r="K793" s="3"/>
      <c r="L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x14ac:dyDescent="0.2">
      <c r="A794" s="3"/>
      <c r="B794" s="14"/>
      <c r="C794" s="14"/>
      <c r="D794" s="14"/>
      <c r="E794" s="14"/>
      <c r="F794" s="14"/>
      <c r="G794" s="14"/>
      <c r="H794" s="14"/>
      <c r="I794" s="14"/>
      <c r="J794" s="3"/>
      <c r="K794" s="3"/>
      <c r="L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x14ac:dyDescent="0.2">
      <c r="A795" s="3"/>
      <c r="B795" s="14"/>
      <c r="C795" s="14"/>
      <c r="D795" s="14"/>
      <c r="E795" s="14"/>
      <c r="F795" s="14"/>
      <c r="G795" s="14"/>
      <c r="H795" s="14"/>
      <c r="I795" s="14"/>
      <c r="J795" s="3"/>
      <c r="K795" s="3"/>
      <c r="L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x14ac:dyDescent="0.2">
      <c r="A796" s="3"/>
      <c r="B796" s="14"/>
      <c r="C796" s="14"/>
      <c r="D796" s="14"/>
      <c r="E796" s="14"/>
      <c r="F796" s="14"/>
      <c r="G796" s="14"/>
      <c r="H796" s="14"/>
      <c r="I796" s="14"/>
      <c r="J796" s="3"/>
      <c r="K796" s="3"/>
      <c r="L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x14ac:dyDescent="0.2">
      <c r="A797" s="3"/>
      <c r="B797" s="14"/>
      <c r="C797" s="14"/>
      <c r="D797" s="14"/>
      <c r="E797" s="14"/>
      <c r="F797" s="14"/>
      <c r="G797" s="14"/>
      <c r="H797" s="14"/>
      <c r="I797" s="14"/>
      <c r="J797" s="3"/>
      <c r="K797" s="3"/>
      <c r="L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x14ac:dyDescent="0.2">
      <c r="A798" s="3"/>
      <c r="B798" s="14"/>
      <c r="C798" s="14"/>
      <c r="D798" s="14"/>
      <c r="E798" s="14"/>
      <c r="F798" s="14"/>
      <c r="G798" s="14"/>
      <c r="H798" s="14"/>
      <c r="I798" s="14"/>
      <c r="J798" s="3"/>
      <c r="K798" s="3"/>
      <c r="L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x14ac:dyDescent="0.2">
      <c r="A799" s="3"/>
      <c r="B799" s="14"/>
      <c r="C799" s="14"/>
      <c r="D799" s="14"/>
      <c r="E799" s="14"/>
      <c r="F799" s="14"/>
      <c r="G799" s="14"/>
      <c r="H799" s="14"/>
      <c r="I799" s="14"/>
      <c r="J799" s="3"/>
      <c r="K799" s="3"/>
      <c r="L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x14ac:dyDescent="0.2">
      <c r="A800" s="3"/>
      <c r="B800" s="14"/>
      <c r="C800" s="14"/>
      <c r="D800" s="14"/>
      <c r="E800" s="14"/>
      <c r="F800" s="14"/>
      <c r="G800" s="14"/>
      <c r="H800" s="14"/>
      <c r="I800" s="14"/>
      <c r="J800" s="3"/>
      <c r="K800" s="3"/>
      <c r="L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x14ac:dyDescent="0.2">
      <c r="A801" s="3"/>
      <c r="B801" s="14"/>
      <c r="C801" s="14"/>
      <c r="D801" s="14"/>
      <c r="E801" s="14"/>
      <c r="F801" s="14"/>
      <c r="G801" s="14"/>
      <c r="H801" s="14"/>
      <c r="I801" s="14"/>
      <c r="J801" s="3"/>
      <c r="K801" s="3"/>
      <c r="L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x14ac:dyDescent="0.2">
      <c r="A802" s="3"/>
      <c r="B802" s="14"/>
      <c r="C802" s="14"/>
      <c r="D802" s="14"/>
      <c r="E802" s="14"/>
      <c r="F802" s="14"/>
      <c r="G802" s="14"/>
      <c r="H802" s="14"/>
      <c r="I802" s="14"/>
      <c r="J802" s="3"/>
      <c r="K802" s="3"/>
      <c r="L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x14ac:dyDescent="0.2">
      <c r="A803" s="3"/>
      <c r="B803" s="14"/>
      <c r="C803" s="14"/>
      <c r="D803" s="14"/>
      <c r="E803" s="14"/>
      <c r="F803" s="14"/>
      <c r="G803" s="14"/>
      <c r="H803" s="14"/>
      <c r="I803" s="14"/>
      <c r="J803" s="3"/>
      <c r="K803" s="3"/>
      <c r="L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x14ac:dyDescent="0.2">
      <c r="A804" s="3"/>
      <c r="B804" s="14"/>
      <c r="C804" s="14"/>
      <c r="D804" s="14"/>
      <c r="E804" s="14"/>
      <c r="F804" s="14"/>
      <c r="G804" s="14"/>
      <c r="H804" s="14"/>
      <c r="I804" s="14"/>
      <c r="J804" s="3"/>
      <c r="K804" s="3"/>
      <c r="L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x14ac:dyDescent="0.2">
      <c r="A805" s="3"/>
      <c r="B805" s="14"/>
      <c r="C805" s="14"/>
      <c r="D805" s="14"/>
      <c r="E805" s="14"/>
      <c r="F805" s="14"/>
      <c r="G805" s="14"/>
      <c r="H805" s="14"/>
      <c r="I805" s="14"/>
      <c r="J805" s="3"/>
      <c r="K805" s="3"/>
      <c r="L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x14ac:dyDescent="0.2">
      <c r="A806" s="3"/>
      <c r="B806" s="14"/>
      <c r="C806" s="14"/>
      <c r="D806" s="14"/>
      <c r="E806" s="14"/>
      <c r="F806" s="14"/>
      <c r="G806" s="14"/>
      <c r="H806" s="14"/>
      <c r="I806" s="14"/>
      <c r="J806" s="3"/>
      <c r="K806" s="3"/>
      <c r="L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x14ac:dyDescent="0.2">
      <c r="A807" s="3"/>
      <c r="B807" s="14"/>
      <c r="C807" s="14"/>
      <c r="D807" s="14"/>
      <c r="E807" s="14"/>
      <c r="F807" s="14"/>
      <c r="G807" s="14"/>
      <c r="H807" s="14"/>
      <c r="I807" s="14"/>
      <c r="J807" s="3"/>
      <c r="K807" s="3"/>
      <c r="L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x14ac:dyDescent="0.2">
      <c r="A808" s="3"/>
      <c r="B808" s="14"/>
      <c r="C808" s="14"/>
      <c r="D808" s="14"/>
      <c r="E808" s="14"/>
      <c r="F808" s="14"/>
      <c r="G808" s="14"/>
      <c r="H808" s="14"/>
      <c r="I808" s="14"/>
      <c r="J808" s="3"/>
      <c r="K808" s="3"/>
      <c r="L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x14ac:dyDescent="0.2">
      <c r="A809" s="3"/>
      <c r="B809" s="14"/>
      <c r="C809" s="14"/>
      <c r="D809" s="14"/>
      <c r="E809" s="14"/>
      <c r="F809" s="14"/>
      <c r="G809" s="14"/>
      <c r="H809" s="14"/>
      <c r="I809" s="14"/>
      <c r="J809" s="3"/>
      <c r="K809" s="3"/>
      <c r="L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x14ac:dyDescent="0.2">
      <c r="A810" s="3"/>
      <c r="B810" s="14"/>
      <c r="C810" s="14"/>
      <c r="D810" s="14"/>
      <c r="E810" s="14"/>
      <c r="F810" s="14"/>
      <c r="G810" s="14"/>
      <c r="H810" s="14"/>
      <c r="I810" s="14"/>
      <c r="J810" s="3"/>
      <c r="K810" s="3"/>
      <c r="L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x14ac:dyDescent="0.2">
      <c r="A811" s="3"/>
      <c r="B811" s="14"/>
      <c r="C811" s="14"/>
      <c r="D811" s="14"/>
      <c r="E811" s="14"/>
      <c r="F811" s="14"/>
      <c r="G811" s="14"/>
      <c r="H811" s="14"/>
      <c r="I811" s="14"/>
      <c r="J811" s="3"/>
      <c r="K811" s="3"/>
      <c r="L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x14ac:dyDescent="0.2">
      <c r="A812" s="3"/>
      <c r="B812" s="14"/>
      <c r="C812" s="14"/>
      <c r="D812" s="14"/>
      <c r="E812" s="14"/>
      <c r="F812" s="14"/>
      <c r="G812" s="14"/>
      <c r="H812" s="14"/>
      <c r="I812" s="14"/>
      <c r="J812" s="3"/>
      <c r="K812" s="3"/>
      <c r="L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x14ac:dyDescent="0.2">
      <c r="A813" s="3"/>
      <c r="B813" s="14"/>
      <c r="C813" s="14"/>
      <c r="D813" s="14"/>
      <c r="E813" s="14"/>
      <c r="F813" s="14"/>
      <c r="G813" s="14"/>
      <c r="H813" s="14"/>
      <c r="I813" s="14"/>
      <c r="J813" s="3"/>
      <c r="K813" s="3"/>
      <c r="L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x14ac:dyDescent="0.2">
      <c r="A814" s="3"/>
      <c r="B814" s="14"/>
      <c r="C814" s="14"/>
      <c r="D814" s="14"/>
      <c r="E814" s="14"/>
      <c r="F814" s="14"/>
      <c r="G814" s="14"/>
      <c r="H814" s="14"/>
      <c r="I814" s="14"/>
      <c r="J814" s="3"/>
      <c r="K814" s="3"/>
      <c r="L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x14ac:dyDescent="0.2">
      <c r="A815" s="3"/>
      <c r="B815" s="14"/>
      <c r="C815" s="14"/>
      <c r="D815" s="14"/>
      <c r="E815" s="14"/>
      <c r="F815" s="14"/>
      <c r="G815" s="14"/>
      <c r="H815" s="14"/>
      <c r="I815" s="14"/>
      <c r="J815" s="3"/>
      <c r="K815" s="3"/>
      <c r="L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x14ac:dyDescent="0.2">
      <c r="A816" s="3"/>
      <c r="B816" s="14"/>
      <c r="C816" s="14"/>
      <c r="D816" s="14"/>
      <c r="E816" s="14"/>
      <c r="F816" s="14"/>
      <c r="G816" s="14"/>
      <c r="H816" s="14"/>
      <c r="I816" s="14"/>
      <c r="J816" s="3"/>
      <c r="K816" s="3"/>
      <c r="L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x14ac:dyDescent="0.2">
      <c r="A817" s="3"/>
      <c r="B817" s="14"/>
      <c r="C817" s="14"/>
      <c r="D817" s="14"/>
      <c r="E817" s="14"/>
      <c r="F817" s="14"/>
      <c r="G817" s="14"/>
      <c r="H817" s="14"/>
      <c r="I817" s="14"/>
      <c r="J817" s="3"/>
      <c r="K817" s="3"/>
      <c r="L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x14ac:dyDescent="0.2">
      <c r="A818" s="3"/>
      <c r="B818" s="14"/>
      <c r="C818" s="14"/>
      <c r="D818" s="14"/>
      <c r="E818" s="14"/>
      <c r="F818" s="14"/>
      <c r="G818" s="14"/>
      <c r="H818" s="14"/>
      <c r="I818" s="14"/>
      <c r="J818" s="3"/>
      <c r="K818" s="3"/>
      <c r="L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x14ac:dyDescent="0.2">
      <c r="A819" s="3"/>
      <c r="B819" s="14"/>
      <c r="C819" s="14"/>
      <c r="D819" s="14"/>
      <c r="E819" s="14"/>
      <c r="F819" s="14"/>
      <c r="G819" s="14"/>
      <c r="H819" s="14"/>
      <c r="I819" s="14"/>
      <c r="J819" s="3"/>
      <c r="K819" s="3"/>
      <c r="L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x14ac:dyDescent="0.2">
      <c r="A820" s="3"/>
      <c r="B820" s="14"/>
      <c r="C820" s="14"/>
      <c r="D820" s="14"/>
      <c r="E820" s="14"/>
      <c r="F820" s="14"/>
      <c r="G820" s="14"/>
      <c r="H820" s="14"/>
      <c r="I820" s="14"/>
      <c r="J820" s="3"/>
      <c r="K820" s="3"/>
      <c r="L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x14ac:dyDescent="0.2">
      <c r="A821" s="3"/>
      <c r="B821" s="14"/>
      <c r="C821" s="14"/>
      <c r="D821" s="14"/>
      <c r="E821" s="14"/>
      <c r="F821" s="14"/>
      <c r="G821" s="14"/>
      <c r="H821" s="14"/>
      <c r="I821" s="14"/>
      <c r="J821" s="3"/>
      <c r="K821" s="3"/>
      <c r="L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x14ac:dyDescent="0.2">
      <c r="A822" s="3"/>
      <c r="B822" s="14"/>
      <c r="C822" s="14"/>
      <c r="D822" s="14"/>
      <c r="E822" s="14"/>
      <c r="F822" s="14"/>
      <c r="G822" s="14"/>
      <c r="H822" s="14"/>
      <c r="I822" s="14"/>
      <c r="J822" s="3"/>
      <c r="K822" s="3"/>
      <c r="L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x14ac:dyDescent="0.2">
      <c r="A823" s="3"/>
      <c r="B823" s="14"/>
      <c r="C823" s="14"/>
      <c r="D823" s="14"/>
      <c r="E823" s="14"/>
      <c r="F823" s="14"/>
      <c r="G823" s="14"/>
      <c r="H823" s="14"/>
      <c r="I823" s="14"/>
      <c r="J823" s="3"/>
      <c r="K823" s="3"/>
      <c r="L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x14ac:dyDescent="0.2">
      <c r="A824" s="3"/>
      <c r="B824" s="14"/>
      <c r="C824" s="14"/>
      <c r="D824" s="14"/>
      <c r="E824" s="14"/>
      <c r="F824" s="14"/>
      <c r="G824" s="14"/>
      <c r="H824" s="14"/>
      <c r="I824" s="14"/>
      <c r="J824" s="3"/>
      <c r="K824" s="3"/>
      <c r="L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x14ac:dyDescent="0.2">
      <c r="A825" s="3"/>
      <c r="B825" s="14"/>
      <c r="C825" s="14"/>
      <c r="D825" s="14"/>
      <c r="E825" s="14"/>
      <c r="F825" s="14"/>
      <c r="G825" s="14"/>
      <c r="H825" s="14"/>
      <c r="I825" s="14"/>
      <c r="J825" s="3"/>
      <c r="K825" s="3"/>
      <c r="L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x14ac:dyDescent="0.2">
      <c r="A826" s="3"/>
      <c r="B826" s="14"/>
      <c r="C826" s="14"/>
      <c r="D826" s="14"/>
      <c r="E826" s="14"/>
      <c r="F826" s="14"/>
      <c r="G826" s="14"/>
      <c r="H826" s="14"/>
      <c r="I826" s="14"/>
      <c r="J826" s="3"/>
      <c r="K826" s="3"/>
      <c r="L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x14ac:dyDescent="0.2">
      <c r="A827" s="3"/>
      <c r="B827" s="14"/>
      <c r="C827" s="14"/>
      <c r="D827" s="14"/>
      <c r="E827" s="14"/>
      <c r="F827" s="14"/>
      <c r="G827" s="14"/>
      <c r="H827" s="14"/>
      <c r="I827" s="14"/>
      <c r="J827" s="3"/>
      <c r="K827" s="3"/>
      <c r="L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x14ac:dyDescent="0.2">
      <c r="A828" s="3"/>
      <c r="B828" s="14"/>
      <c r="C828" s="14"/>
      <c r="D828" s="14"/>
      <c r="E828" s="14"/>
      <c r="F828" s="14"/>
      <c r="G828" s="14"/>
      <c r="H828" s="14"/>
      <c r="I828" s="14"/>
      <c r="J828" s="3"/>
      <c r="K828" s="3"/>
      <c r="L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x14ac:dyDescent="0.2">
      <c r="A829" s="3"/>
      <c r="B829" s="14"/>
      <c r="C829" s="14"/>
      <c r="D829" s="14"/>
      <c r="E829" s="14"/>
      <c r="F829" s="14"/>
      <c r="G829" s="14"/>
      <c r="H829" s="14"/>
      <c r="I829" s="14"/>
      <c r="J829" s="3"/>
      <c r="K829" s="3"/>
      <c r="L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x14ac:dyDescent="0.2">
      <c r="A830" s="3"/>
      <c r="B830" s="14"/>
      <c r="C830" s="14"/>
      <c r="D830" s="14"/>
      <c r="E830" s="14"/>
      <c r="F830" s="14"/>
      <c r="G830" s="14"/>
      <c r="H830" s="14"/>
      <c r="I830" s="14"/>
      <c r="J830" s="3"/>
      <c r="K830" s="3"/>
      <c r="L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x14ac:dyDescent="0.2">
      <c r="A831" s="3"/>
      <c r="B831" s="14"/>
      <c r="C831" s="14"/>
      <c r="D831" s="14"/>
      <c r="E831" s="14"/>
      <c r="F831" s="14"/>
      <c r="G831" s="14"/>
      <c r="H831" s="14"/>
      <c r="I831" s="14"/>
      <c r="J831" s="3"/>
      <c r="K831" s="3"/>
      <c r="L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x14ac:dyDescent="0.2">
      <c r="A832" s="3"/>
      <c r="B832" s="14"/>
      <c r="C832" s="14"/>
      <c r="D832" s="14"/>
      <c r="E832" s="14"/>
      <c r="F832" s="14"/>
      <c r="G832" s="14"/>
      <c r="H832" s="14"/>
      <c r="I832" s="14"/>
      <c r="J832" s="3"/>
      <c r="K832" s="3"/>
      <c r="L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x14ac:dyDescent="0.2">
      <c r="A833" s="3"/>
      <c r="B833" s="14"/>
      <c r="C833" s="14"/>
      <c r="D833" s="14"/>
      <c r="E833" s="14"/>
      <c r="F833" s="14"/>
      <c r="G833" s="14"/>
      <c r="H833" s="14"/>
      <c r="I833" s="14"/>
      <c r="J833" s="3"/>
      <c r="K833" s="3"/>
      <c r="L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x14ac:dyDescent="0.2">
      <c r="A834" s="3"/>
      <c r="B834" s="14"/>
      <c r="C834" s="14"/>
      <c r="D834" s="14"/>
      <c r="E834" s="14"/>
      <c r="F834" s="14"/>
      <c r="G834" s="14"/>
      <c r="H834" s="14"/>
      <c r="I834" s="14"/>
      <c r="J834" s="3"/>
      <c r="K834" s="3"/>
      <c r="L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x14ac:dyDescent="0.2">
      <c r="A835" s="3"/>
      <c r="B835" s="14"/>
      <c r="C835" s="14"/>
      <c r="D835" s="14"/>
      <c r="E835" s="14"/>
      <c r="F835" s="14"/>
      <c r="G835" s="14"/>
      <c r="H835" s="14"/>
      <c r="I835" s="14"/>
      <c r="J835" s="3"/>
      <c r="K835" s="3"/>
      <c r="L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x14ac:dyDescent="0.2">
      <c r="A836" s="3"/>
      <c r="B836" s="14"/>
      <c r="C836" s="14"/>
      <c r="D836" s="14"/>
      <c r="E836" s="14"/>
      <c r="F836" s="14"/>
      <c r="G836" s="14"/>
      <c r="H836" s="14"/>
      <c r="I836" s="14"/>
      <c r="J836" s="3"/>
      <c r="K836" s="3"/>
      <c r="L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x14ac:dyDescent="0.2">
      <c r="A837" s="3"/>
      <c r="B837" s="14"/>
      <c r="C837" s="14"/>
      <c r="D837" s="14"/>
      <c r="E837" s="14"/>
      <c r="F837" s="14"/>
      <c r="G837" s="14"/>
      <c r="H837" s="14"/>
      <c r="I837" s="14"/>
      <c r="J837" s="3"/>
      <c r="K837" s="3"/>
      <c r="L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x14ac:dyDescent="0.2">
      <c r="A838" s="3"/>
      <c r="B838" s="14"/>
      <c r="C838" s="14"/>
      <c r="D838" s="14"/>
      <c r="E838" s="14"/>
      <c r="F838" s="14"/>
      <c r="G838" s="14"/>
      <c r="H838" s="14"/>
      <c r="I838" s="14"/>
      <c r="J838" s="3"/>
      <c r="K838" s="3"/>
      <c r="L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x14ac:dyDescent="0.2">
      <c r="A839" s="3"/>
      <c r="B839" s="14"/>
      <c r="C839" s="14"/>
      <c r="D839" s="14"/>
      <c r="E839" s="14"/>
      <c r="F839" s="14"/>
      <c r="G839" s="14"/>
      <c r="H839" s="14"/>
      <c r="I839" s="14"/>
      <c r="J839" s="3"/>
      <c r="K839" s="3"/>
      <c r="L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x14ac:dyDescent="0.2">
      <c r="A840" s="3"/>
      <c r="B840" s="14"/>
      <c r="C840" s="14"/>
      <c r="D840" s="14"/>
      <c r="E840" s="14"/>
      <c r="F840" s="14"/>
      <c r="G840" s="14"/>
      <c r="H840" s="14"/>
      <c r="I840" s="14"/>
      <c r="J840" s="3"/>
      <c r="K840" s="3"/>
      <c r="L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x14ac:dyDescent="0.2">
      <c r="A841" s="3"/>
      <c r="B841" s="14"/>
      <c r="C841" s="14"/>
      <c r="D841" s="14"/>
      <c r="E841" s="14"/>
      <c r="F841" s="14"/>
      <c r="G841" s="14"/>
      <c r="H841" s="14"/>
      <c r="I841" s="14"/>
      <c r="J841" s="3"/>
      <c r="K841" s="3"/>
      <c r="L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x14ac:dyDescent="0.2">
      <c r="A842" s="3"/>
      <c r="B842" s="14"/>
      <c r="C842" s="14"/>
      <c r="D842" s="14"/>
      <c r="E842" s="14"/>
      <c r="F842" s="14"/>
      <c r="G842" s="14"/>
      <c r="H842" s="14"/>
      <c r="I842" s="14"/>
      <c r="J842" s="3"/>
      <c r="K842" s="3"/>
      <c r="L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x14ac:dyDescent="0.2">
      <c r="A843" s="3"/>
      <c r="B843" s="14"/>
      <c r="C843" s="14"/>
      <c r="D843" s="14"/>
      <c r="E843" s="14"/>
      <c r="F843" s="14"/>
      <c r="G843" s="14"/>
      <c r="H843" s="14"/>
      <c r="I843" s="14"/>
      <c r="J843" s="3"/>
      <c r="K843" s="3"/>
      <c r="L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x14ac:dyDescent="0.2">
      <c r="A844" s="3"/>
      <c r="B844" s="14"/>
      <c r="C844" s="14"/>
      <c r="D844" s="14"/>
      <c r="E844" s="14"/>
      <c r="F844" s="14"/>
      <c r="G844" s="14"/>
      <c r="H844" s="14"/>
      <c r="I844" s="14"/>
      <c r="J844" s="3"/>
      <c r="K844" s="3"/>
      <c r="L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x14ac:dyDescent="0.2">
      <c r="A845" s="3"/>
      <c r="B845" s="14"/>
      <c r="C845" s="14"/>
      <c r="D845" s="14"/>
      <c r="E845" s="14"/>
      <c r="F845" s="14"/>
      <c r="G845" s="14"/>
      <c r="H845" s="14"/>
      <c r="I845" s="14"/>
      <c r="J845" s="3"/>
      <c r="K845" s="3"/>
      <c r="L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x14ac:dyDescent="0.2">
      <c r="A846" s="3"/>
      <c r="B846" s="14"/>
      <c r="C846" s="14"/>
      <c r="D846" s="14"/>
      <c r="E846" s="14"/>
      <c r="F846" s="14"/>
      <c r="G846" s="14"/>
      <c r="H846" s="14"/>
      <c r="I846" s="14"/>
      <c r="J846" s="3"/>
      <c r="K846" s="3"/>
      <c r="L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x14ac:dyDescent="0.2">
      <c r="A847" s="3"/>
      <c r="B847" s="14"/>
      <c r="C847" s="14"/>
      <c r="D847" s="14"/>
      <c r="E847" s="14"/>
      <c r="F847" s="14"/>
      <c r="G847" s="14"/>
      <c r="H847" s="14"/>
      <c r="I847" s="14"/>
      <c r="J847" s="3"/>
      <c r="K847" s="3"/>
      <c r="L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x14ac:dyDescent="0.2">
      <c r="A848" s="3"/>
      <c r="B848" s="14"/>
      <c r="C848" s="14"/>
      <c r="D848" s="14"/>
      <c r="E848" s="14"/>
      <c r="F848" s="14"/>
      <c r="G848" s="14"/>
      <c r="H848" s="14"/>
      <c r="I848" s="14"/>
      <c r="J848" s="3"/>
      <c r="K848" s="3"/>
      <c r="L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x14ac:dyDescent="0.2">
      <c r="A849" s="3"/>
      <c r="B849" s="14"/>
      <c r="C849" s="14"/>
      <c r="D849" s="14"/>
      <c r="E849" s="14"/>
      <c r="F849" s="14"/>
      <c r="G849" s="14"/>
      <c r="H849" s="14"/>
      <c r="I849" s="14"/>
      <c r="J849" s="3"/>
      <c r="K849" s="3"/>
      <c r="L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x14ac:dyDescent="0.2">
      <c r="A850" s="3"/>
      <c r="B850" s="14"/>
      <c r="C850" s="14"/>
      <c r="D850" s="14"/>
      <c r="E850" s="14"/>
      <c r="F850" s="14"/>
      <c r="G850" s="14"/>
      <c r="H850" s="14"/>
      <c r="I850" s="14"/>
      <c r="J850" s="3"/>
      <c r="K850" s="3"/>
      <c r="L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x14ac:dyDescent="0.2">
      <c r="A851" s="3"/>
      <c r="B851" s="14"/>
      <c r="C851" s="14"/>
      <c r="D851" s="14"/>
      <c r="E851" s="14"/>
      <c r="F851" s="14"/>
      <c r="G851" s="14"/>
      <c r="H851" s="14"/>
      <c r="I851" s="14"/>
      <c r="J851" s="3"/>
      <c r="K851" s="3"/>
      <c r="L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x14ac:dyDescent="0.2">
      <c r="A852" s="3"/>
      <c r="B852" s="14"/>
      <c r="C852" s="14"/>
      <c r="D852" s="14"/>
      <c r="E852" s="14"/>
      <c r="F852" s="14"/>
      <c r="G852" s="14"/>
      <c r="H852" s="14"/>
      <c r="I852" s="14"/>
      <c r="J852" s="3"/>
      <c r="K852" s="3"/>
      <c r="L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x14ac:dyDescent="0.2">
      <c r="A853" s="3"/>
      <c r="B853" s="14"/>
      <c r="C853" s="14"/>
      <c r="D853" s="14"/>
      <c r="E853" s="14"/>
      <c r="F853" s="14"/>
      <c r="G853" s="14"/>
      <c r="H853" s="14"/>
      <c r="I853" s="14"/>
      <c r="J853" s="3"/>
      <c r="K853" s="3"/>
      <c r="L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x14ac:dyDescent="0.2">
      <c r="A854" s="3"/>
      <c r="B854" s="14"/>
      <c r="C854" s="14"/>
      <c r="D854" s="14"/>
      <c r="E854" s="14"/>
      <c r="F854" s="14"/>
      <c r="G854" s="14"/>
      <c r="H854" s="14"/>
      <c r="I854" s="14"/>
      <c r="J854" s="3"/>
      <c r="K854" s="3"/>
      <c r="L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x14ac:dyDescent="0.2">
      <c r="A855" s="3"/>
      <c r="B855" s="14"/>
      <c r="C855" s="14"/>
      <c r="D855" s="14"/>
      <c r="E855" s="14"/>
      <c r="F855" s="14"/>
      <c r="G855" s="14"/>
      <c r="H855" s="14"/>
      <c r="I855" s="14"/>
      <c r="J855" s="3"/>
      <c r="K855" s="3"/>
      <c r="L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x14ac:dyDescent="0.2">
      <c r="A856" s="3"/>
      <c r="B856" s="14"/>
      <c r="C856" s="14"/>
      <c r="D856" s="14"/>
      <c r="E856" s="14"/>
      <c r="F856" s="14"/>
      <c r="G856" s="14"/>
      <c r="H856" s="14"/>
      <c r="I856" s="14"/>
      <c r="J856" s="3"/>
      <c r="K856" s="3"/>
      <c r="L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x14ac:dyDescent="0.2">
      <c r="A857" s="3"/>
      <c r="B857" s="14"/>
      <c r="C857" s="14"/>
      <c r="D857" s="14"/>
      <c r="E857" s="14"/>
      <c r="F857" s="14"/>
      <c r="G857" s="14"/>
      <c r="H857" s="14"/>
      <c r="I857" s="14"/>
      <c r="J857" s="3"/>
      <c r="K857" s="3"/>
      <c r="L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x14ac:dyDescent="0.2">
      <c r="A858" s="3"/>
      <c r="B858" s="14"/>
      <c r="C858" s="14"/>
      <c r="D858" s="14"/>
      <c r="E858" s="14"/>
      <c r="F858" s="14"/>
      <c r="G858" s="14"/>
      <c r="H858" s="14"/>
      <c r="I858" s="14"/>
      <c r="J858" s="3"/>
      <c r="K858" s="3"/>
      <c r="L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x14ac:dyDescent="0.2">
      <c r="A859" s="3"/>
      <c r="B859" s="14"/>
      <c r="C859" s="14"/>
      <c r="D859" s="14"/>
      <c r="E859" s="14"/>
      <c r="F859" s="14"/>
      <c r="G859" s="14"/>
      <c r="H859" s="14"/>
      <c r="I859" s="14"/>
      <c r="J859" s="3"/>
      <c r="K859" s="3"/>
      <c r="L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x14ac:dyDescent="0.2">
      <c r="A860" s="3"/>
      <c r="B860" s="14"/>
      <c r="C860" s="14"/>
      <c r="D860" s="14"/>
      <c r="E860" s="14"/>
      <c r="F860" s="14"/>
      <c r="G860" s="14"/>
      <c r="H860" s="14"/>
      <c r="I860" s="14"/>
      <c r="J860" s="3"/>
      <c r="K860" s="3"/>
      <c r="L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x14ac:dyDescent="0.2">
      <c r="A861" s="3"/>
      <c r="B861" s="14"/>
      <c r="C861" s="14"/>
      <c r="D861" s="14"/>
      <c r="E861" s="14"/>
      <c r="F861" s="14"/>
      <c r="G861" s="14"/>
      <c r="H861" s="14"/>
      <c r="I861" s="14"/>
      <c r="J861" s="3"/>
      <c r="K861" s="3"/>
      <c r="L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x14ac:dyDescent="0.2">
      <c r="A862" s="3"/>
      <c r="B862" s="14"/>
      <c r="C862" s="14"/>
      <c r="D862" s="14"/>
      <c r="E862" s="14"/>
      <c r="F862" s="14"/>
      <c r="G862" s="14"/>
      <c r="H862" s="14"/>
      <c r="I862" s="14"/>
      <c r="J862" s="3"/>
      <c r="K862" s="3"/>
      <c r="L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x14ac:dyDescent="0.2">
      <c r="A863" s="3"/>
      <c r="B863" s="14"/>
      <c r="C863" s="14"/>
      <c r="D863" s="14"/>
      <c r="E863" s="14"/>
      <c r="F863" s="14"/>
      <c r="G863" s="14"/>
      <c r="H863" s="14"/>
      <c r="I863" s="14"/>
      <c r="J863" s="3"/>
      <c r="K863" s="3"/>
      <c r="L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x14ac:dyDescent="0.2">
      <c r="A864" s="3"/>
      <c r="B864" s="14"/>
      <c r="C864" s="14"/>
      <c r="D864" s="14"/>
      <c r="E864" s="14"/>
      <c r="F864" s="14"/>
      <c r="G864" s="14"/>
      <c r="H864" s="14"/>
      <c r="I864" s="14"/>
      <c r="J864" s="3"/>
      <c r="K864" s="3"/>
      <c r="L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x14ac:dyDescent="0.2">
      <c r="A865" s="3"/>
      <c r="B865" s="14"/>
      <c r="C865" s="14"/>
      <c r="D865" s="14"/>
      <c r="E865" s="14"/>
      <c r="F865" s="14"/>
      <c r="G865" s="14"/>
      <c r="H865" s="14"/>
      <c r="I865" s="14"/>
      <c r="J865" s="3"/>
      <c r="K865" s="3"/>
      <c r="L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x14ac:dyDescent="0.2">
      <c r="A866" s="3"/>
      <c r="B866" s="14"/>
      <c r="C866" s="14"/>
      <c r="D866" s="14"/>
      <c r="E866" s="14"/>
      <c r="F866" s="14"/>
      <c r="G866" s="14"/>
      <c r="H866" s="14"/>
      <c r="I866" s="14"/>
      <c r="J866" s="3"/>
      <c r="K866" s="3"/>
      <c r="L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x14ac:dyDescent="0.2">
      <c r="A867" s="3"/>
      <c r="B867" s="14"/>
      <c r="C867" s="14"/>
      <c r="D867" s="14"/>
      <c r="E867" s="14"/>
      <c r="F867" s="14"/>
      <c r="G867" s="14"/>
      <c r="H867" s="14"/>
      <c r="I867" s="14"/>
      <c r="J867" s="3"/>
      <c r="K867" s="3"/>
      <c r="L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x14ac:dyDescent="0.2">
      <c r="A868" s="3"/>
      <c r="B868" s="14"/>
      <c r="C868" s="14"/>
      <c r="D868" s="14"/>
      <c r="E868" s="14"/>
      <c r="F868" s="14"/>
      <c r="G868" s="14"/>
      <c r="H868" s="14"/>
      <c r="I868" s="14"/>
      <c r="J868" s="3"/>
      <c r="K868" s="3"/>
      <c r="L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x14ac:dyDescent="0.2">
      <c r="A869" s="3"/>
      <c r="B869" s="14"/>
      <c r="C869" s="14"/>
      <c r="D869" s="14"/>
      <c r="E869" s="14"/>
      <c r="F869" s="14"/>
      <c r="G869" s="14"/>
      <c r="H869" s="14"/>
      <c r="I869" s="14"/>
      <c r="J869" s="3"/>
      <c r="K869" s="3"/>
      <c r="L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x14ac:dyDescent="0.2">
      <c r="A870" s="3"/>
      <c r="B870" s="14"/>
      <c r="C870" s="14"/>
      <c r="D870" s="14"/>
      <c r="E870" s="14"/>
      <c r="F870" s="14"/>
      <c r="G870" s="14"/>
      <c r="H870" s="14"/>
      <c r="I870" s="14"/>
      <c r="J870" s="3"/>
      <c r="K870" s="3"/>
      <c r="L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x14ac:dyDescent="0.2">
      <c r="A871" s="3"/>
      <c r="B871" s="14"/>
      <c r="C871" s="14"/>
      <c r="D871" s="14"/>
      <c r="E871" s="14"/>
      <c r="F871" s="14"/>
      <c r="G871" s="14"/>
      <c r="H871" s="14"/>
      <c r="I871" s="14"/>
      <c r="J871" s="3"/>
      <c r="K871" s="3"/>
      <c r="L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x14ac:dyDescent="0.2">
      <c r="A872" s="3"/>
      <c r="B872" s="14"/>
      <c r="C872" s="14"/>
      <c r="D872" s="14"/>
      <c r="E872" s="14"/>
      <c r="F872" s="14"/>
      <c r="G872" s="14"/>
      <c r="H872" s="14"/>
      <c r="I872" s="14"/>
      <c r="J872" s="3"/>
      <c r="K872" s="3"/>
      <c r="L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x14ac:dyDescent="0.2">
      <c r="A873" s="3"/>
      <c r="B873" s="14"/>
      <c r="C873" s="14"/>
      <c r="D873" s="14"/>
      <c r="E873" s="14"/>
      <c r="F873" s="14"/>
      <c r="G873" s="14"/>
      <c r="H873" s="14"/>
      <c r="I873" s="14"/>
      <c r="J873" s="3"/>
      <c r="K873" s="3"/>
      <c r="L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x14ac:dyDescent="0.2">
      <c r="A874" s="3"/>
      <c r="B874" s="14"/>
      <c r="C874" s="14"/>
      <c r="D874" s="14"/>
      <c r="E874" s="14"/>
      <c r="F874" s="14"/>
      <c r="G874" s="14"/>
      <c r="H874" s="14"/>
      <c r="I874" s="14"/>
      <c r="J874" s="3"/>
      <c r="K874" s="3"/>
      <c r="L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x14ac:dyDescent="0.2">
      <c r="A875" s="3"/>
      <c r="B875" s="14"/>
      <c r="C875" s="14"/>
      <c r="D875" s="14"/>
      <c r="E875" s="14"/>
      <c r="F875" s="14"/>
      <c r="G875" s="14"/>
      <c r="H875" s="14"/>
      <c r="I875" s="14"/>
      <c r="J875" s="3"/>
      <c r="K875" s="3"/>
      <c r="L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x14ac:dyDescent="0.2">
      <c r="A876" s="3"/>
      <c r="B876" s="14"/>
      <c r="C876" s="14"/>
      <c r="D876" s="14"/>
      <c r="E876" s="14"/>
      <c r="F876" s="14"/>
      <c r="G876" s="14"/>
      <c r="H876" s="14"/>
      <c r="I876" s="14"/>
      <c r="J876" s="3"/>
      <c r="K876" s="3"/>
      <c r="L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x14ac:dyDescent="0.2">
      <c r="A877" s="3"/>
      <c r="B877" s="14"/>
      <c r="C877" s="14"/>
      <c r="D877" s="14"/>
      <c r="E877" s="14"/>
      <c r="F877" s="14"/>
      <c r="G877" s="14"/>
      <c r="H877" s="14"/>
      <c r="I877" s="14"/>
      <c r="J877" s="3"/>
      <c r="K877" s="3"/>
      <c r="L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x14ac:dyDescent="0.2">
      <c r="A878" s="3"/>
      <c r="B878" s="14"/>
      <c r="C878" s="14"/>
      <c r="D878" s="14"/>
      <c r="E878" s="14"/>
      <c r="F878" s="14"/>
      <c r="G878" s="14"/>
      <c r="H878" s="14"/>
      <c r="I878" s="14"/>
      <c r="J878" s="3"/>
      <c r="K878" s="3"/>
      <c r="L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x14ac:dyDescent="0.2">
      <c r="A879" s="3"/>
      <c r="B879" s="14"/>
      <c r="C879" s="14"/>
      <c r="D879" s="14"/>
      <c r="E879" s="14"/>
      <c r="F879" s="14"/>
      <c r="G879" s="14"/>
      <c r="H879" s="14"/>
      <c r="I879" s="14"/>
      <c r="J879" s="3"/>
      <c r="K879" s="3"/>
      <c r="L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x14ac:dyDescent="0.2">
      <c r="A880" s="3"/>
      <c r="B880" s="14"/>
      <c r="C880" s="14"/>
      <c r="D880" s="14"/>
      <c r="E880" s="14"/>
      <c r="F880" s="14"/>
      <c r="G880" s="14"/>
      <c r="H880" s="14"/>
      <c r="I880" s="14"/>
      <c r="J880" s="3"/>
      <c r="K880" s="3"/>
      <c r="L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x14ac:dyDescent="0.2">
      <c r="A881" s="3"/>
      <c r="B881" s="14"/>
      <c r="C881" s="14"/>
      <c r="D881" s="14"/>
      <c r="E881" s="14"/>
      <c r="F881" s="14"/>
      <c r="G881" s="14"/>
      <c r="H881" s="14"/>
      <c r="I881" s="14"/>
      <c r="J881" s="3"/>
      <c r="K881" s="3"/>
      <c r="L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x14ac:dyDescent="0.2">
      <c r="A882" s="3"/>
      <c r="B882" s="14"/>
      <c r="C882" s="14"/>
      <c r="D882" s="14"/>
      <c r="E882" s="14"/>
      <c r="F882" s="14"/>
      <c r="G882" s="14"/>
      <c r="H882" s="14"/>
      <c r="I882" s="14"/>
      <c r="J882" s="3"/>
      <c r="K882" s="3"/>
      <c r="L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x14ac:dyDescent="0.2">
      <c r="A883" s="3"/>
      <c r="B883" s="14"/>
      <c r="C883" s="14"/>
      <c r="D883" s="14"/>
      <c r="E883" s="14"/>
      <c r="F883" s="14"/>
      <c r="G883" s="14"/>
      <c r="H883" s="14"/>
      <c r="I883" s="14"/>
      <c r="J883" s="3"/>
      <c r="K883" s="3"/>
      <c r="L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x14ac:dyDescent="0.2">
      <c r="A884" s="3"/>
      <c r="B884" s="14"/>
      <c r="C884" s="14"/>
      <c r="D884" s="14"/>
      <c r="E884" s="14"/>
      <c r="F884" s="14"/>
      <c r="G884" s="14"/>
      <c r="H884" s="14"/>
      <c r="I884" s="14"/>
      <c r="J884" s="3"/>
      <c r="K884" s="3"/>
      <c r="L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x14ac:dyDescent="0.2">
      <c r="A885" s="3"/>
      <c r="B885" s="14"/>
      <c r="C885" s="14"/>
      <c r="D885" s="14"/>
      <c r="E885" s="14"/>
      <c r="F885" s="14"/>
      <c r="G885" s="14"/>
      <c r="H885" s="14"/>
      <c r="I885" s="14"/>
      <c r="J885" s="3"/>
      <c r="K885" s="3"/>
      <c r="L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x14ac:dyDescent="0.2">
      <c r="A886" s="3"/>
      <c r="B886" s="14"/>
      <c r="C886" s="14"/>
      <c r="D886" s="14"/>
      <c r="E886" s="14"/>
      <c r="F886" s="14"/>
      <c r="G886" s="14"/>
      <c r="H886" s="14"/>
      <c r="I886" s="14"/>
      <c r="J886" s="3"/>
      <c r="K886" s="3"/>
      <c r="L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x14ac:dyDescent="0.2">
      <c r="A887" s="3"/>
      <c r="B887" s="14"/>
      <c r="C887" s="14"/>
      <c r="D887" s="14"/>
      <c r="E887" s="14"/>
      <c r="F887" s="14"/>
      <c r="G887" s="14"/>
      <c r="H887" s="14"/>
      <c r="I887" s="14"/>
      <c r="J887" s="3"/>
      <c r="K887" s="3"/>
      <c r="L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x14ac:dyDescent="0.2">
      <c r="A888" s="3"/>
      <c r="B888" s="14"/>
      <c r="C888" s="14"/>
      <c r="D888" s="14"/>
      <c r="E888" s="14"/>
      <c r="F888" s="14"/>
      <c r="G888" s="14"/>
      <c r="H888" s="14"/>
      <c r="I888" s="14"/>
      <c r="J888" s="3"/>
      <c r="K888" s="3"/>
      <c r="L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x14ac:dyDescent="0.2">
      <c r="A889" s="3"/>
      <c r="B889" s="14"/>
      <c r="C889" s="14"/>
      <c r="D889" s="14"/>
      <c r="E889" s="14"/>
      <c r="F889" s="14"/>
      <c r="G889" s="14"/>
      <c r="H889" s="14"/>
      <c r="I889" s="14"/>
      <c r="J889" s="3"/>
      <c r="K889" s="3"/>
      <c r="L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x14ac:dyDescent="0.2">
      <c r="A890" s="3"/>
      <c r="B890" s="14"/>
      <c r="C890" s="14"/>
      <c r="D890" s="14"/>
      <c r="E890" s="14"/>
      <c r="F890" s="14"/>
      <c r="G890" s="14"/>
      <c r="H890" s="14"/>
      <c r="I890" s="14"/>
      <c r="J890" s="3"/>
      <c r="K890" s="3"/>
      <c r="L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x14ac:dyDescent="0.2">
      <c r="A891" s="3"/>
      <c r="B891" s="14"/>
      <c r="C891" s="14"/>
      <c r="D891" s="14"/>
      <c r="E891" s="14"/>
      <c r="F891" s="14"/>
      <c r="G891" s="14"/>
      <c r="H891" s="14"/>
      <c r="I891" s="14"/>
      <c r="J891" s="3"/>
      <c r="K891" s="3"/>
      <c r="L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x14ac:dyDescent="0.2">
      <c r="A892" s="3"/>
      <c r="B892" s="14"/>
      <c r="C892" s="14"/>
      <c r="D892" s="14"/>
      <c r="E892" s="14"/>
      <c r="F892" s="14"/>
      <c r="G892" s="14"/>
      <c r="H892" s="14"/>
      <c r="I892" s="14"/>
      <c r="J892" s="3"/>
      <c r="K892" s="3"/>
      <c r="L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x14ac:dyDescent="0.2">
      <c r="A893" s="3"/>
      <c r="B893" s="14"/>
      <c r="C893" s="14"/>
      <c r="D893" s="14"/>
      <c r="E893" s="14"/>
      <c r="F893" s="14"/>
      <c r="G893" s="14"/>
      <c r="H893" s="14"/>
      <c r="I893" s="14"/>
      <c r="J893" s="3"/>
      <c r="K893" s="3"/>
      <c r="L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x14ac:dyDescent="0.2">
      <c r="A894" s="3"/>
      <c r="B894" s="14"/>
      <c r="C894" s="14"/>
      <c r="D894" s="14"/>
      <c r="E894" s="14"/>
      <c r="F894" s="14"/>
      <c r="G894" s="14"/>
      <c r="H894" s="14"/>
      <c r="I894" s="14"/>
      <c r="J894" s="3"/>
      <c r="K894" s="3"/>
      <c r="L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x14ac:dyDescent="0.2">
      <c r="A895" s="3"/>
      <c r="B895" s="14"/>
      <c r="C895" s="14"/>
      <c r="D895" s="14"/>
      <c r="E895" s="14"/>
      <c r="F895" s="14"/>
      <c r="G895" s="14"/>
      <c r="H895" s="14"/>
      <c r="I895" s="14"/>
      <c r="J895" s="3"/>
      <c r="K895" s="3"/>
      <c r="L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x14ac:dyDescent="0.2">
      <c r="A896" s="3"/>
      <c r="B896" s="14"/>
      <c r="C896" s="14"/>
      <c r="D896" s="14"/>
      <c r="E896" s="14"/>
      <c r="F896" s="14"/>
      <c r="G896" s="14"/>
      <c r="H896" s="14"/>
      <c r="I896" s="14"/>
      <c r="J896" s="3"/>
      <c r="K896" s="3"/>
      <c r="L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x14ac:dyDescent="0.2">
      <c r="A897" s="3"/>
      <c r="B897" s="14"/>
      <c r="C897" s="14"/>
      <c r="D897" s="14"/>
      <c r="E897" s="14"/>
      <c r="F897" s="14"/>
      <c r="G897" s="14"/>
      <c r="H897" s="14"/>
      <c r="I897" s="14"/>
      <c r="J897" s="3"/>
      <c r="K897" s="3"/>
      <c r="L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x14ac:dyDescent="0.2">
      <c r="A898" s="3"/>
      <c r="B898" s="14"/>
      <c r="C898" s="14"/>
      <c r="D898" s="14"/>
      <c r="E898" s="14"/>
      <c r="F898" s="14"/>
      <c r="G898" s="14"/>
      <c r="H898" s="14"/>
      <c r="I898" s="14"/>
      <c r="J898" s="3"/>
      <c r="K898" s="3"/>
      <c r="L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x14ac:dyDescent="0.2">
      <c r="A899" s="3"/>
      <c r="B899" s="14"/>
      <c r="C899" s="14"/>
      <c r="D899" s="14"/>
      <c r="E899" s="14"/>
      <c r="F899" s="14"/>
      <c r="G899" s="14"/>
      <c r="H899" s="14"/>
      <c r="I899" s="14"/>
      <c r="J899" s="3"/>
      <c r="K899" s="3"/>
      <c r="L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x14ac:dyDescent="0.2">
      <c r="A900" s="3"/>
      <c r="B900" s="14"/>
      <c r="C900" s="14"/>
      <c r="D900" s="14"/>
      <c r="E900" s="14"/>
      <c r="F900" s="14"/>
      <c r="G900" s="14"/>
      <c r="H900" s="14"/>
      <c r="I900" s="14"/>
      <c r="J900" s="3"/>
      <c r="K900" s="3"/>
      <c r="L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x14ac:dyDescent="0.2">
      <c r="A901" s="3"/>
      <c r="B901" s="14"/>
      <c r="C901" s="14"/>
      <c r="D901" s="14"/>
      <c r="E901" s="14"/>
      <c r="F901" s="14"/>
      <c r="G901" s="14"/>
      <c r="H901" s="14"/>
      <c r="I901" s="14"/>
      <c r="J901" s="3"/>
      <c r="K901" s="3"/>
      <c r="L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x14ac:dyDescent="0.2">
      <c r="A902" s="3"/>
      <c r="B902" s="14"/>
      <c r="C902" s="14"/>
      <c r="D902" s="14"/>
      <c r="E902" s="14"/>
      <c r="F902" s="14"/>
      <c r="G902" s="14"/>
      <c r="H902" s="14"/>
      <c r="I902" s="14"/>
      <c r="J902" s="3"/>
      <c r="K902" s="3"/>
      <c r="L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x14ac:dyDescent="0.2">
      <c r="A903" s="3"/>
      <c r="B903" s="14"/>
      <c r="C903" s="14"/>
      <c r="D903" s="14"/>
      <c r="E903" s="14"/>
      <c r="F903" s="14"/>
      <c r="G903" s="14"/>
      <c r="H903" s="14"/>
      <c r="I903" s="14"/>
      <c r="J903" s="3"/>
      <c r="K903" s="3"/>
      <c r="L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x14ac:dyDescent="0.2">
      <c r="A904" s="3"/>
      <c r="B904" s="14"/>
      <c r="C904" s="14"/>
      <c r="D904" s="14"/>
      <c r="E904" s="14"/>
      <c r="F904" s="14"/>
      <c r="G904" s="14"/>
      <c r="H904" s="14"/>
      <c r="I904" s="14"/>
      <c r="J904" s="3"/>
      <c r="K904" s="3"/>
      <c r="L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x14ac:dyDescent="0.2">
      <c r="A905" s="3"/>
      <c r="B905" s="14"/>
      <c r="C905" s="14"/>
      <c r="D905" s="14"/>
      <c r="E905" s="14"/>
      <c r="F905" s="14"/>
      <c r="G905" s="14"/>
      <c r="H905" s="14"/>
      <c r="I905" s="14"/>
      <c r="J905" s="3"/>
      <c r="K905" s="3"/>
      <c r="L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x14ac:dyDescent="0.2">
      <c r="A906" s="3"/>
      <c r="B906" s="14"/>
      <c r="C906" s="14"/>
      <c r="D906" s="14"/>
      <c r="E906" s="14"/>
      <c r="F906" s="14"/>
      <c r="G906" s="14"/>
      <c r="H906" s="14"/>
      <c r="I906" s="14"/>
      <c r="J906" s="3"/>
      <c r="K906" s="3"/>
      <c r="L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x14ac:dyDescent="0.2">
      <c r="A907" s="3"/>
      <c r="B907" s="14"/>
      <c r="C907" s="14"/>
      <c r="D907" s="14"/>
      <c r="E907" s="14"/>
      <c r="F907" s="14"/>
      <c r="G907" s="14"/>
      <c r="H907" s="14"/>
      <c r="I907" s="14"/>
      <c r="J907" s="3"/>
      <c r="K907" s="3"/>
      <c r="L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x14ac:dyDescent="0.2">
      <c r="A908" s="3"/>
      <c r="B908" s="14"/>
      <c r="C908" s="14"/>
      <c r="D908" s="14"/>
      <c r="E908" s="14"/>
      <c r="F908" s="14"/>
      <c r="G908" s="14"/>
      <c r="H908" s="14"/>
      <c r="I908" s="14"/>
      <c r="J908" s="3"/>
      <c r="K908" s="3"/>
      <c r="L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x14ac:dyDescent="0.2">
      <c r="A909" s="3"/>
      <c r="B909" s="14"/>
      <c r="C909" s="14"/>
      <c r="D909" s="14"/>
      <c r="E909" s="14"/>
      <c r="F909" s="14"/>
      <c r="G909" s="14"/>
      <c r="H909" s="14"/>
      <c r="I909" s="14"/>
      <c r="J909" s="3"/>
      <c r="K909" s="3"/>
      <c r="L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x14ac:dyDescent="0.2">
      <c r="A910" s="3"/>
      <c r="B910" s="14"/>
      <c r="C910" s="14"/>
      <c r="D910" s="14"/>
      <c r="E910" s="14"/>
      <c r="F910" s="14"/>
      <c r="G910" s="14"/>
      <c r="H910" s="14"/>
      <c r="I910" s="14"/>
      <c r="J910" s="3"/>
      <c r="K910" s="3"/>
      <c r="L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x14ac:dyDescent="0.2">
      <c r="A911" s="3"/>
      <c r="B911" s="14"/>
      <c r="C911" s="14"/>
      <c r="D911" s="14"/>
      <c r="E911" s="14"/>
      <c r="F911" s="14"/>
      <c r="G911" s="14"/>
      <c r="H911" s="14"/>
      <c r="I911" s="14"/>
      <c r="J911" s="3"/>
      <c r="K911" s="3"/>
      <c r="L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x14ac:dyDescent="0.2">
      <c r="A912" s="3"/>
      <c r="B912" s="14"/>
      <c r="C912" s="14"/>
      <c r="D912" s="14"/>
      <c r="E912" s="14"/>
      <c r="F912" s="14"/>
      <c r="G912" s="14"/>
      <c r="H912" s="14"/>
      <c r="I912" s="14"/>
      <c r="J912" s="3"/>
      <c r="K912" s="3"/>
      <c r="L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x14ac:dyDescent="0.2">
      <c r="A913" s="3"/>
      <c r="B913" s="14"/>
      <c r="C913" s="14"/>
      <c r="D913" s="14"/>
      <c r="E913" s="14"/>
      <c r="F913" s="14"/>
      <c r="G913" s="14"/>
      <c r="H913" s="14"/>
      <c r="I913" s="14"/>
      <c r="J913" s="3"/>
      <c r="K913" s="3"/>
      <c r="L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x14ac:dyDescent="0.2">
      <c r="A914" s="3"/>
      <c r="B914" s="14"/>
      <c r="C914" s="14"/>
      <c r="D914" s="14"/>
      <c r="E914" s="14"/>
      <c r="F914" s="14"/>
      <c r="G914" s="14"/>
      <c r="H914" s="14"/>
      <c r="I914" s="14"/>
      <c r="J914" s="3"/>
      <c r="K914" s="3"/>
      <c r="L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x14ac:dyDescent="0.2">
      <c r="A915" s="3"/>
      <c r="B915" s="14"/>
      <c r="C915" s="14"/>
      <c r="D915" s="14"/>
      <c r="E915" s="14"/>
      <c r="F915" s="14"/>
      <c r="G915" s="14"/>
      <c r="H915" s="14"/>
      <c r="I915" s="14"/>
      <c r="J915" s="3"/>
      <c r="K915" s="3"/>
      <c r="L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x14ac:dyDescent="0.2">
      <c r="A916" s="3"/>
      <c r="B916" s="14"/>
      <c r="C916" s="14"/>
      <c r="D916" s="14"/>
      <c r="E916" s="14"/>
      <c r="F916" s="14"/>
      <c r="G916" s="14"/>
      <c r="H916" s="14"/>
      <c r="I916" s="14"/>
      <c r="J916" s="3"/>
      <c r="K916" s="3"/>
      <c r="L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x14ac:dyDescent="0.2">
      <c r="A917" s="3"/>
      <c r="B917" s="14"/>
      <c r="C917" s="14"/>
      <c r="D917" s="14"/>
      <c r="E917" s="14"/>
      <c r="F917" s="14"/>
      <c r="G917" s="14"/>
      <c r="H917" s="14"/>
      <c r="I917" s="14"/>
      <c r="J917" s="3"/>
      <c r="K917" s="3"/>
      <c r="L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x14ac:dyDescent="0.2">
      <c r="A918" s="3"/>
      <c r="B918" s="14"/>
      <c r="C918" s="14"/>
      <c r="D918" s="14"/>
      <c r="E918" s="14"/>
      <c r="F918" s="14"/>
      <c r="G918" s="14"/>
      <c r="H918" s="14"/>
      <c r="I918" s="14"/>
      <c r="J918" s="3"/>
      <c r="K918" s="3"/>
      <c r="L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x14ac:dyDescent="0.2">
      <c r="A919" s="3"/>
      <c r="B919" s="14"/>
      <c r="C919" s="14"/>
      <c r="D919" s="14"/>
      <c r="E919" s="14"/>
      <c r="F919" s="14"/>
      <c r="G919" s="14"/>
      <c r="H919" s="14"/>
      <c r="I919" s="14"/>
      <c r="J919" s="3"/>
      <c r="K919" s="3"/>
      <c r="L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x14ac:dyDescent="0.2">
      <c r="A920" s="3"/>
      <c r="B920" s="14"/>
      <c r="C920" s="14"/>
      <c r="D920" s="14"/>
      <c r="E920" s="14"/>
      <c r="F920" s="14"/>
      <c r="G920" s="14"/>
      <c r="H920" s="14"/>
      <c r="I920" s="14"/>
      <c r="J920" s="3"/>
      <c r="K920" s="3"/>
      <c r="L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x14ac:dyDescent="0.2">
      <c r="A921" s="3"/>
      <c r="B921" s="14"/>
      <c r="C921" s="14"/>
      <c r="D921" s="14"/>
      <c r="E921" s="14"/>
      <c r="F921" s="14"/>
      <c r="G921" s="14"/>
      <c r="H921" s="14"/>
      <c r="I921" s="14"/>
      <c r="J921" s="3"/>
      <c r="K921" s="3"/>
      <c r="L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x14ac:dyDescent="0.2">
      <c r="A922" s="3"/>
      <c r="B922" s="14"/>
      <c r="C922" s="14"/>
      <c r="D922" s="14"/>
      <c r="E922" s="14"/>
      <c r="F922" s="14"/>
      <c r="G922" s="14"/>
      <c r="H922" s="14"/>
      <c r="I922" s="14"/>
      <c r="J922" s="3"/>
      <c r="K922" s="3"/>
      <c r="L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x14ac:dyDescent="0.2">
      <c r="A923" s="3"/>
      <c r="B923" s="14"/>
      <c r="C923" s="14"/>
      <c r="D923" s="14"/>
      <c r="E923" s="14"/>
      <c r="F923" s="14"/>
      <c r="G923" s="14"/>
      <c r="H923" s="14"/>
      <c r="I923" s="14"/>
      <c r="J923" s="3"/>
      <c r="K923" s="3"/>
      <c r="L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x14ac:dyDescent="0.2">
      <c r="A924" s="3"/>
      <c r="B924" s="14"/>
      <c r="C924" s="14"/>
      <c r="D924" s="14"/>
      <c r="E924" s="14"/>
      <c r="F924" s="14"/>
      <c r="G924" s="14"/>
      <c r="H924" s="14"/>
      <c r="I924" s="14"/>
      <c r="J924" s="3"/>
      <c r="K924" s="3"/>
      <c r="L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x14ac:dyDescent="0.2">
      <c r="A925" s="3"/>
      <c r="B925" s="14"/>
      <c r="C925" s="14"/>
      <c r="D925" s="14"/>
      <c r="E925" s="14"/>
      <c r="F925" s="14"/>
      <c r="G925" s="14"/>
      <c r="H925" s="14"/>
      <c r="I925" s="14"/>
      <c r="J925" s="3"/>
      <c r="K925" s="3"/>
      <c r="L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x14ac:dyDescent="0.2">
      <c r="A926" s="3"/>
      <c r="B926" s="14"/>
      <c r="C926" s="14"/>
      <c r="D926" s="14"/>
      <c r="E926" s="14"/>
      <c r="F926" s="14"/>
      <c r="G926" s="14"/>
      <c r="H926" s="14"/>
      <c r="I926" s="14"/>
      <c r="J926" s="3"/>
      <c r="K926" s="3"/>
      <c r="L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x14ac:dyDescent="0.2">
      <c r="A927" s="3"/>
      <c r="B927" s="14"/>
      <c r="C927" s="14"/>
      <c r="D927" s="14"/>
      <c r="E927" s="14"/>
      <c r="F927" s="14"/>
      <c r="G927" s="14"/>
      <c r="H927" s="14"/>
      <c r="I927" s="14"/>
      <c r="J927" s="3"/>
      <c r="K927" s="3"/>
      <c r="L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x14ac:dyDescent="0.2">
      <c r="A928" s="3"/>
      <c r="B928" s="14"/>
      <c r="C928" s="14"/>
      <c r="D928" s="14"/>
      <c r="E928" s="14"/>
      <c r="F928" s="14"/>
      <c r="G928" s="14"/>
      <c r="H928" s="14"/>
      <c r="I928" s="14"/>
      <c r="J928" s="3"/>
      <c r="K928" s="3"/>
      <c r="L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x14ac:dyDescent="0.2">
      <c r="A929" s="3"/>
      <c r="B929" s="14"/>
      <c r="C929" s="14"/>
      <c r="D929" s="14"/>
      <c r="E929" s="14"/>
      <c r="F929" s="14"/>
      <c r="G929" s="14"/>
      <c r="H929" s="14"/>
      <c r="I929" s="14"/>
      <c r="J929" s="3"/>
      <c r="K929" s="3"/>
      <c r="L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x14ac:dyDescent="0.2">
      <c r="A930" s="3"/>
      <c r="B930" s="14"/>
      <c r="C930" s="14"/>
      <c r="D930" s="14"/>
      <c r="E930" s="14"/>
      <c r="F930" s="14"/>
      <c r="G930" s="14"/>
      <c r="H930" s="14"/>
      <c r="I930" s="14"/>
      <c r="J930" s="3"/>
      <c r="K930" s="3"/>
      <c r="L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x14ac:dyDescent="0.2">
      <c r="A931" s="3"/>
      <c r="B931" s="14"/>
      <c r="C931" s="14"/>
      <c r="D931" s="14"/>
      <c r="E931" s="14"/>
      <c r="F931" s="14"/>
      <c r="G931" s="14"/>
      <c r="H931" s="14"/>
      <c r="I931" s="14"/>
      <c r="J931" s="3"/>
      <c r="K931" s="3"/>
      <c r="L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x14ac:dyDescent="0.2">
      <c r="A932" s="3"/>
      <c r="B932" s="14"/>
      <c r="C932" s="14"/>
      <c r="D932" s="14"/>
      <c r="E932" s="14"/>
      <c r="F932" s="14"/>
      <c r="G932" s="14"/>
      <c r="H932" s="14"/>
      <c r="I932" s="14"/>
      <c r="J932" s="3"/>
      <c r="K932" s="3"/>
      <c r="L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x14ac:dyDescent="0.2">
      <c r="A933" s="3"/>
      <c r="B933" s="14"/>
      <c r="C933" s="14"/>
      <c r="D933" s="14"/>
      <c r="E933" s="14"/>
      <c r="F933" s="14"/>
      <c r="G933" s="14"/>
      <c r="H933" s="14"/>
      <c r="I933" s="14"/>
      <c r="J933" s="3"/>
      <c r="K933" s="3"/>
      <c r="L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x14ac:dyDescent="0.2">
      <c r="A934" s="3"/>
      <c r="B934" s="14"/>
      <c r="C934" s="14"/>
      <c r="D934" s="14"/>
      <c r="E934" s="14"/>
      <c r="F934" s="14"/>
      <c r="G934" s="14"/>
      <c r="H934" s="14"/>
      <c r="I934" s="14"/>
      <c r="J934" s="3"/>
      <c r="K934" s="3"/>
      <c r="L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x14ac:dyDescent="0.2">
      <c r="A935" s="3"/>
      <c r="B935" s="14"/>
      <c r="C935" s="14"/>
      <c r="D935" s="14"/>
      <c r="E935" s="14"/>
      <c r="F935" s="14"/>
      <c r="G935" s="14"/>
      <c r="H935" s="14"/>
      <c r="I935" s="14"/>
      <c r="J935" s="3"/>
      <c r="K935" s="3"/>
      <c r="L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x14ac:dyDescent="0.2">
      <c r="A936" s="3"/>
      <c r="B936" s="14"/>
      <c r="C936" s="14"/>
      <c r="D936" s="14"/>
      <c r="E936" s="14"/>
      <c r="F936" s="14"/>
      <c r="G936" s="14"/>
      <c r="H936" s="14"/>
      <c r="I936" s="14"/>
      <c r="J936" s="3"/>
      <c r="K936" s="3"/>
      <c r="L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x14ac:dyDescent="0.2">
      <c r="A937" s="3"/>
      <c r="B937" s="14"/>
      <c r="C937" s="14"/>
      <c r="D937" s="14"/>
      <c r="E937" s="14"/>
      <c r="F937" s="14"/>
      <c r="G937" s="14"/>
      <c r="H937" s="14"/>
      <c r="I937" s="14"/>
      <c r="J937" s="3"/>
      <c r="K937" s="3"/>
      <c r="L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x14ac:dyDescent="0.2">
      <c r="A938" s="3"/>
      <c r="B938" s="14"/>
      <c r="C938" s="14"/>
      <c r="D938" s="14"/>
      <c r="E938" s="14"/>
      <c r="F938" s="14"/>
      <c r="G938" s="14"/>
      <c r="H938" s="14"/>
      <c r="I938" s="14"/>
      <c r="J938" s="3"/>
      <c r="K938" s="3"/>
      <c r="L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x14ac:dyDescent="0.2">
      <c r="A939" s="3"/>
      <c r="B939" s="14"/>
      <c r="C939" s="14"/>
      <c r="D939" s="14"/>
      <c r="E939" s="14"/>
      <c r="F939" s="14"/>
      <c r="G939" s="14"/>
      <c r="H939" s="14"/>
      <c r="I939" s="14"/>
      <c r="J939" s="3"/>
      <c r="K939" s="3"/>
      <c r="L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x14ac:dyDescent="0.2">
      <c r="A940" s="3"/>
      <c r="B940" s="14"/>
      <c r="C940" s="14"/>
      <c r="D940" s="14"/>
      <c r="E940" s="14"/>
      <c r="F940" s="14"/>
      <c r="G940" s="14"/>
      <c r="H940" s="14"/>
      <c r="I940" s="14"/>
      <c r="J940" s="3"/>
      <c r="K940" s="3"/>
      <c r="L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x14ac:dyDescent="0.2">
      <c r="A941" s="3"/>
      <c r="B941" s="14"/>
      <c r="C941" s="14"/>
      <c r="D941" s="14"/>
      <c r="E941" s="14"/>
      <c r="F941" s="14"/>
      <c r="G941" s="14"/>
      <c r="H941" s="14"/>
      <c r="I941" s="14"/>
      <c r="J941" s="3"/>
      <c r="K941" s="3"/>
      <c r="L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x14ac:dyDescent="0.2">
      <c r="A942" s="3"/>
      <c r="B942" s="14"/>
      <c r="C942" s="14"/>
      <c r="D942" s="14"/>
      <c r="E942" s="14"/>
      <c r="F942" s="14"/>
      <c r="G942" s="14"/>
      <c r="H942" s="14"/>
      <c r="I942" s="14"/>
      <c r="J942" s="3"/>
      <c r="K942" s="3"/>
      <c r="L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x14ac:dyDescent="0.2">
      <c r="A943" s="3"/>
      <c r="B943" s="14"/>
      <c r="C943" s="14"/>
      <c r="D943" s="14"/>
      <c r="E943" s="14"/>
      <c r="F943" s="14"/>
      <c r="G943" s="14"/>
      <c r="H943" s="14"/>
      <c r="I943" s="14"/>
      <c r="J943" s="3"/>
      <c r="K943" s="3"/>
      <c r="L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x14ac:dyDescent="0.2">
      <c r="A944" s="3"/>
      <c r="B944" s="14"/>
      <c r="C944" s="14"/>
      <c r="D944" s="14"/>
      <c r="E944" s="14"/>
      <c r="F944" s="14"/>
      <c r="G944" s="14"/>
      <c r="H944" s="14"/>
      <c r="I944" s="14"/>
      <c r="J944" s="3"/>
      <c r="K944" s="3"/>
      <c r="L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x14ac:dyDescent="0.2">
      <c r="A945" s="3"/>
      <c r="B945" s="14"/>
      <c r="C945" s="14"/>
      <c r="D945" s="14"/>
      <c r="E945" s="14"/>
      <c r="F945" s="14"/>
      <c r="G945" s="14"/>
      <c r="H945" s="14"/>
      <c r="I945" s="14"/>
      <c r="J945" s="3"/>
      <c r="K945" s="3"/>
      <c r="L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x14ac:dyDescent="0.2">
      <c r="A946" s="3"/>
      <c r="B946" s="14"/>
      <c r="C946" s="14"/>
      <c r="D946" s="14"/>
      <c r="E946" s="14"/>
      <c r="F946" s="14"/>
      <c r="G946" s="14"/>
      <c r="H946" s="14"/>
      <c r="I946" s="14"/>
      <c r="J946" s="3"/>
      <c r="K946" s="3"/>
      <c r="L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x14ac:dyDescent="0.2">
      <c r="A947" s="3"/>
      <c r="B947" s="14"/>
      <c r="C947" s="14"/>
      <c r="D947" s="14"/>
      <c r="E947" s="14"/>
      <c r="F947" s="14"/>
      <c r="G947" s="14"/>
      <c r="H947" s="14"/>
      <c r="I947" s="14"/>
      <c r="J947" s="3"/>
      <c r="K947" s="3"/>
      <c r="L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x14ac:dyDescent="0.2">
      <c r="A948" s="3"/>
      <c r="B948" s="14"/>
      <c r="C948" s="14"/>
      <c r="D948" s="14"/>
      <c r="E948" s="14"/>
      <c r="F948" s="14"/>
      <c r="G948" s="14"/>
      <c r="H948" s="14"/>
      <c r="I948" s="14"/>
      <c r="J948" s="3"/>
      <c r="K948" s="3"/>
      <c r="L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x14ac:dyDescent="0.2">
      <c r="A949" s="3"/>
      <c r="B949" s="14"/>
      <c r="C949" s="14"/>
      <c r="D949" s="14"/>
      <c r="E949" s="14"/>
      <c r="F949" s="14"/>
      <c r="G949" s="14"/>
      <c r="H949" s="14"/>
      <c r="I949" s="14"/>
      <c r="J949" s="3"/>
      <c r="K949" s="3"/>
      <c r="L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x14ac:dyDescent="0.2">
      <c r="A950" s="3"/>
      <c r="B950" s="14"/>
      <c r="C950" s="14"/>
      <c r="D950" s="14"/>
      <c r="E950" s="14"/>
      <c r="F950" s="14"/>
      <c r="G950" s="14"/>
      <c r="H950" s="14"/>
      <c r="I950" s="14"/>
      <c r="J950" s="3"/>
      <c r="K950" s="3"/>
      <c r="L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x14ac:dyDescent="0.2">
      <c r="A951" s="3"/>
      <c r="B951" s="14"/>
      <c r="C951" s="14"/>
      <c r="D951" s="14"/>
      <c r="E951" s="14"/>
      <c r="F951" s="14"/>
      <c r="G951" s="14"/>
      <c r="H951" s="14"/>
      <c r="I951" s="14"/>
      <c r="J951" s="3"/>
      <c r="K951" s="3"/>
      <c r="L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x14ac:dyDescent="0.2">
      <c r="A952" s="3"/>
      <c r="B952" s="14"/>
      <c r="C952" s="14"/>
      <c r="D952" s="14"/>
      <c r="E952" s="14"/>
      <c r="F952" s="14"/>
      <c r="G952" s="14"/>
      <c r="H952" s="14"/>
      <c r="I952" s="14"/>
      <c r="J952" s="3"/>
      <c r="K952" s="3"/>
      <c r="L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x14ac:dyDescent="0.2">
      <c r="A953" s="3"/>
      <c r="B953" s="14"/>
      <c r="C953" s="14"/>
      <c r="D953" s="14"/>
      <c r="E953" s="14"/>
      <c r="F953" s="14"/>
      <c r="G953" s="14"/>
      <c r="H953" s="14"/>
      <c r="I953" s="14"/>
      <c r="J953" s="3"/>
      <c r="K953" s="3"/>
      <c r="L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x14ac:dyDescent="0.2">
      <c r="A954" s="3"/>
      <c r="B954" s="14"/>
      <c r="C954" s="14"/>
      <c r="D954" s="14"/>
      <c r="E954" s="14"/>
      <c r="F954" s="14"/>
      <c r="G954" s="14"/>
      <c r="H954" s="14"/>
      <c r="I954" s="14"/>
      <c r="J954" s="3"/>
      <c r="K954" s="3"/>
      <c r="L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x14ac:dyDescent="0.2">
      <c r="A955" s="3"/>
      <c r="B955" s="14"/>
      <c r="C955" s="14"/>
      <c r="D955" s="14"/>
      <c r="E955" s="14"/>
      <c r="F955" s="14"/>
      <c r="G955" s="14"/>
      <c r="H955" s="14"/>
      <c r="I955" s="14"/>
      <c r="J955" s="3"/>
      <c r="K955" s="3"/>
      <c r="L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x14ac:dyDescent="0.2">
      <c r="A956" s="3"/>
      <c r="B956" s="14"/>
      <c r="C956" s="14"/>
      <c r="D956" s="14"/>
      <c r="E956" s="14"/>
      <c r="F956" s="14"/>
      <c r="G956" s="14"/>
      <c r="H956" s="14"/>
      <c r="I956" s="14"/>
      <c r="J956" s="3"/>
      <c r="K956" s="3"/>
      <c r="L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x14ac:dyDescent="0.2">
      <c r="A957" s="3"/>
      <c r="B957" s="14"/>
      <c r="C957" s="14"/>
      <c r="D957" s="14"/>
      <c r="E957" s="14"/>
      <c r="F957" s="14"/>
      <c r="G957" s="14"/>
      <c r="H957" s="14"/>
      <c r="I957" s="14"/>
      <c r="J957" s="3"/>
      <c r="K957" s="3"/>
      <c r="L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x14ac:dyDescent="0.2">
      <c r="A958" s="3"/>
      <c r="B958" s="14"/>
      <c r="C958" s="14"/>
      <c r="D958" s="14"/>
      <c r="E958" s="14"/>
      <c r="F958" s="14"/>
      <c r="G958" s="14"/>
      <c r="H958" s="14"/>
      <c r="I958" s="14"/>
      <c r="J958" s="3"/>
      <c r="K958" s="3"/>
      <c r="L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x14ac:dyDescent="0.2">
      <c r="A959" s="3"/>
      <c r="B959" s="14"/>
      <c r="C959" s="14"/>
      <c r="D959" s="14"/>
      <c r="E959" s="14"/>
      <c r="F959" s="14"/>
      <c r="G959" s="14"/>
      <c r="H959" s="14"/>
      <c r="I959" s="14"/>
      <c r="J959" s="3"/>
      <c r="K959" s="3"/>
      <c r="L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x14ac:dyDescent="0.2">
      <c r="A960" s="3"/>
      <c r="B960" s="14"/>
      <c r="C960" s="14"/>
      <c r="D960" s="14"/>
      <c r="E960" s="14"/>
      <c r="F960" s="14"/>
      <c r="G960" s="14"/>
      <c r="H960" s="14"/>
      <c r="I960" s="14"/>
      <c r="J960" s="3"/>
      <c r="K960" s="3"/>
      <c r="L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x14ac:dyDescent="0.2">
      <c r="A961" s="3"/>
      <c r="B961" s="14"/>
      <c r="C961" s="14"/>
      <c r="D961" s="14"/>
      <c r="E961" s="14"/>
      <c r="F961" s="14"/>
      <c r="G961" s="14"/>
      <c r="H961" s="14"/>
      <c r="I961" s="14"/>
      <c r="J961" s="3"/>
      <c r="K961" s="3"/>
      <c r="L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x14ac:dyDescent="0.2">
      <c r="A962" s="3"/>
      <c r="B962" s="14"/>
      <c r="C962" s="14"/>
      <c r="D962" s="14"/>
      <c r="E962" s="14"/>
      <c r="F962" s="14"/>
      <c r="G962" s="14"/>
      <c r="H962" s="14"/>
      <c r="I962" s="14"/>
      <c r="J962" s="3"/>
      <c r="K962" s="3"/>
      <c r="L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x14ac:dyDescent="0.2">
      <c r="A963" s="3"/>
      <c r="B963" s="14"/>
      <c r="C963" s="14"/>
      <c r="D963" s="14"/>
      <c r="E963" s="14"/>
      <c r="F963" s="14"/>
      <c r="G963" s="14"/>
      <c r="H963" s="14"/>
      <c r="I963" s="14"/>
      <c r="J963" s="3"/>
      <c r="K963" s="3"/>
      <c r="L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x14ac:dyDescent="0.2">
      <c r="A964" s="3"/>
      <c r="B964" s="14"/>
      <c r="C964" s="14"/>
      <c r="D964" s="14"/>
      <c r="E964" s="14"/>
      <c r="F964" s="14"/>
      <c r="G964" s="14"/>
      <c r="H964" s="14"/>
      <c r="I964" s="14"/>
      <c r="J964" s="3"/>
      <c r="K964" s="3"/>
      <c r="L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x14ac:dyDescent="0.2">
      <c r="A965" s="3"/>
      <c r="B965" s="14"/>
      <c r="C965" s="14"/>
      <c r="D965" s="14"/>
      <c r="E965" s="14"/>
      <c r="F965" s="14"/>
      <c r="G965" s="14"/>
      <c r="H965" s="14"/>
      <c r="I965" s="14"/>
      <c r="J965" s="3"/>
      <c r="K965" s="3"/>
      <c r="L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x14ac:dyDescent="0.2">
      <c r="A966" s="3"/>
      <c r="B966" s="14"/>
      <c r="C966" s="14"/>
      <c r="D966" s="14"/>
      <c r="E966" s="14"/>
      <c r="F966" s="14"/>
      <c r="G966" s="14"/>
      <c r="H966" s="14"/>
      <c r="I966" s="14"/>
      <c r="J966" s="3"/>
      <c r="K966" s="3"/>
      <c r="L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x14ac:dyDescent="0.2">
      <c r="A967" s="3"/>
      <c r="B967" s="14"/>
      <c r="C967" s="14"/>
      <c r="D967" s="14"/>
      <c r="E967" s="14"/>
      <c r="F967" s="14"/>
      <c r="G967" s="14"/>
      <c r="H967" s="14"/>
      <c r="I967" s="14"/>
      <c r="J967" s="3"/>
      <c r="K967" s="3"/>
      <c r="L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x14ac:dyDescent="0.2">
      <c r="A968" s="3"/>
      <c r="B968" s="14"/>
      <c r="C968" s="14"/>
      <c r="D968" s="14"/>
      <c r="E968" s="14"/>
      <c r="F968" s="14"/>
      <c r="G968" s="14"/>
      <c r="H968" s="14"/>
      <c r="I968" s="14"/>
      <c r="J968" s="3"/>
      <c r="K968" s="3"/>
      <c r="L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x14ac:dyDescent="0.2">
      <c r="A969" s="3"/>
      <c r="B969" s="14"/>
      <c r="C969" s="14"/>
      <c r="D969" s="14"/>
      <c r="E969" s="14"/>
      <c r="F969" s="14"/>
      <c r="G969" s="14"/>
      <c r="H969" s="14"/>
      <c r="I969" s="14"/>
      <c r="J969" s="3"/>
      <c r="K969" s="3"/>
      <c r="L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x14ac:dyDescent="0.2">
      <c r="A970" s="3"/>
      <c r="B970" s="14"/>
      <c r="C970" s="14"/>
      <c r="D970" s="14"/>
      <c r="E970" s="14"/>
      <c r="F970" s="14"/>
      <c r="G970" s="14"/>
      <c r="H970" s="14"/>
      <c r="I970" s="14"/>
      <c r="J970" s="3"/>
      <c r="K970" s="3"/>
      <c r="L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x14ac:dyDescent="0.2">
      <c r="A971" s="3"/>
      <c r="B971" s="14"/>
      <c r="C971" s="14"/>
      <c r="D971" s="14"/>
      <c r="E971" s="14"/>
      <c r="F971" s="14"/>
      <c r="G971" s="14"/>
      <c r="H971" s="14"/>
      <c r="I971" s="14"/>
      <c r="J971" s="3"/>
      <c r="K971" s="3"/>
      <c r="L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x14ac:dyDescent="0.2">
      <c r="A972" s="3"/>
      <c r="B972" s="14"/>
      <c r="C972" s="14"/>
      <c r="D972" s="14"/>
      <c r="E972" s="14"/>
      <c r="F972" s="14"/>
      <c r="G972" s="14"/>
      <c r="H972" s="14"/>
      <c r="I972" s="14"/>
      <c r="J972" s="3"/>
      <c r="K972" s="3"/>
      <c r="L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x14ac:dyDescent="0.2">
      <c r="A973" s="3"/>
      <c r="B973" s="14"/>
      <c r="C973" s="14"/>
      <c r="D973" s="14"/>
      <c r="E973" s="14"/>
      <c r="F973" s="14"/>
      <c r="G973" s="14"/>
      <c r="H973" s="14"/>
      <c r="I973" s="14"/>
      <c r="J973" s="3"/>
      <c r="K973" s="3"/>
      <c r="L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x14ac:dyDescent="0.2">
      <c r="A974" s="3"/>
      <c r="B974" s="14"/>
      <c r="C974" s="14"/>
      <c r="D974" s="14"/>
      <c r="E974" s="14"/>
      <c r="F974" s="14"/>
      <c r="G974" s="14"/>
      <c r="H974" s="14"/>
      <c r="I974" s="14"/>
      <c r="J974" s="3"/>
      <c r="K974" s="3"/>
      <c r="L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x14ac:dyDescent="0.2">
      <c r="A975" s="3"/>
      <c r="B975" s="14"/>
      <c r="C975" s="14"/>
      <c r="D975" s="14"/>
      <c r="E975" s="14"/>
      <c r="F975" s="14"/>
      <c r="G975" s="14"/>
      <c r="H975" s="14"/>
      <c r="I975" s="14"/>
      <c r="J975" s="3"/>
      <c r="K975" s="3"/>
      <c r="L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x14ac:dyDescent="0.2">
      <c r="A976" s="3"/>
      <c r="B976" s="14"/>
      <c r="C976" s="14"/>
      <c r="D976" s="14"/>
      <c r="E976" s="14"/>
      <c r="F976" s="14"/>
      <c r="G976" s="14"/>
      <c r="H976" s="14"/>
      <c r="I976" s="14"/>
      <c r="J976" s="3"/>
      <c r="K976" s="3"/>
      <c r="L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x14ac:dyDescent="0.2">
      <c r="A977" s="3"/>
      <c r="B977" s="14"/>
      <c r="C977" s="14"/>
      <c r="D977" s="14"/>
      <c r="E977" s="14"/>
      <c r="F977" s="14"/>
      <c r="G977" s="14"/>
      <c r="H977" s="14"/>
      <c r="I977" s="14"/>
      <c r="J977" s="3"/>
      <c r="K977" s="3"/>
      <c r="L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x14ac:dyDescent="0.2">
      <c r="A978" s="3"/>
      <c r="B978" s="14"/>
      <c r="C978" s="14"/>
      <c r="D978" s="14"/>
      <c r="E978" s="14"/>
      <c r="F978" s="14"/>
      <c r="G978" s="14"/>
      <c r="H978" s="14"/>
      <c r="I978" s="14"/>
      <c r="J978" s="3"/>
      <c r="K978" s="3"/>
      <c r="L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x14ac:dyDescent="0.2">
      <c r="A979" s="3"/>
      <c r="B979" s="14"/>
      <c r="C979" s="14"/>
      <c r="D979" s="14"/>
      <c r="E979" s="14"/>
      <c r="F979" s="14"/>
      <c r="G979" s="14"/>
      <c r="H979" s="14"/>
      <c r="I979" s="14"/>
      <c r="J979" s="3"/>
      <c r="K979" s="3"/>
      <c r="L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x14ac:dyDescent="0.2">
      <c r="A980" s="3"/>
      <c r="B980" s="14"/>
      <c r="C980" s="14"/>
      <c r="D980" s="14"/>
      <c r="E980" s="14"/>
      <c r="F980" s="14"/>
      <c r="G980" s="14"/>
      <c r="H980" s="14"/>
      <c r="I980" s="14"/>
      <c r="J980" s="3"/>
      <c r="K980" s="3"/>
      <c r="L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x14ac:dyDescent="0.2">
      <c r="A981" s="3"/>
      <c r="B981" s="14"/>
      <c r="C981" s="14"/>
      <c r="D981" s="14"/>
      <c r="E981" s="14"/>
      <c r="F981" s="14"/>
      <c r="G981" s="14"/>
      <c r="H981" s="14"/>
      <c r="I981" s="14"/>
      <c r="J981" s="3"/>
      <c r="K981" s="3"/>
      <c r="L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x14ac:dyDescent="0.2">
      <c r="A982" s="3"/>
      <c r="B982" s="14"/>
      <c r="C982" s="14"/>
      <c r="D982" s="14"/>
      <c r="E982" s="14"/>
      <c r="F982" s="14"/>
      <c r="G982" s="14"/>
      <c r="H982" s="14"/>
      <c r="I982" s="14"/>
      <c r="J982" s="3"/>
      <c r="K982" s="3"/>
      <c r="L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x14ac:dyDescent="0.2">
      <c r="A983" s="3"/>
      <c r="B983" s="14"/>
      <c r="C983" s="14"/>
      <c r="D983" s="14"/>
      <c r="E983" s="14"/>
      <c r="F983" s="14"/>
      <c r="G983" s="14"/>
      <c r="H983" s="14"/>
      <c r="I983" s="14"/>
      <c r="J983" s="3"/>
      <c r="K983" s="3"/>
      <c r="L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x14ac:dyDescent="0.2">
      <c r="A984" s="3"/>
      <c r="B984" s="14"/>
      <c r="C984" s="14"/>
      <c r="D984" s="14"/>
      <c r="E984" s="14"/>
      <c r="F984" s="14"/>
      <c r="G984" s="14"/>
      <c r="H984" s="14"/>
      <c r="I984" s="14"/>
      <c r="J984" s="3"/>
      <c r="K984" s="3"/>
      <c r="L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x14ac:dyDescent="0.2">
      <c r="A985" s="3"/>
      <c r="B985" s="14"/>
      <c r="C985" s="14"/>
      <c r="D985" s="14"/>
      <c r="E985" s="14"/>
      <c r="F985" s="14"/>
      <c r="G985" s="14"/>
      <c r="H985" s="14"/>
      <c r="I985" s="14"/>
      <c r="J985" s="3"/>
      <c r="K985" s="3"/>
      <c r="L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x14ac:dyDescent="0.2">
      <c r="A986" s="3"/>
      <c r="B986" s="14"/>
      <c r="C986" s="14"/>
      <c r="D986" s="14"/>
      <c r="E986" s="14"/>
      <c r="F986" s="14"/>
      <c r="G986" s="14"/>
      <c r="H986" s="14"/>
      <c r="I986" s="14"/>
      <c r="J986" s="3"/>
      <c r="K986" s="3"/>
      <c r="L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x14ac:dyDescent="0.2">
      <c r="A987" s="3"/>
      <c r="B987" s="14"/>
      <c r="C987" s="14"/>
      <c r="D987" s="14"/>
      <c r="E987" s="14"/>
      <c r="F987" s="14"/>
      <c r="G987" s="14"/>
      <c r="H987" s="14"/>
      <c r="I987" s="14"/>
      <c r="J987" s="3"/>
      <c r="K987" s="3"/>
      <c r="L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x14ac:dyDescent="0.2">
      <c r="A988" s="3"/>
      <c r="B988" s="14"/>
      <c r="C988" s="14"/>
      <c r="D988" s="14"/>
      <c r="E988" s="14"/>
      <c r="F988" s="14"/>
      <c r="G988" s="14"/>
      <c r="H988" s="14"/>
      <c r="I988" s="14"/>
      <c r="J988" s="3"/>
      <c r="K988" s="3"/>
      <c r="L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x14ac:dyDescent="0.2">
      <c r="A989" s="3"/>
      <c r="B989" s="14"/>
      <c r="C989" s="14"/>
      <c r="D989" s="14"/>
      <c r="E989" s="14"/>
      <c r="F989" s="14"/>
      <c r="G989" s="14"/>
      <c r="H989" s="14"/>
      <c r="I989" s="14"/>
      <c r="J989" s="3"/>
      <c r="K989" s="3"/>
      <c r="L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x14ac:dyDescent="0.2">
      <c r="A990" s="3"/>
      <c r="B990" s="14"/>
      <c r="C990" s="14"/>
      <c r="D990" s="14"/>
      <c r="E990" s="14"/>
      <c r="F990" s="14"/>
      <c r="G990" s="14"/>
      <c r="H990" s="14"/>
      <c r="I990" s="14"/>
      <c r="J990" s="3"/>
      <c r="K990" s="3"/>
      <c r="L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x14ac:dyDescent="0.2">
      <c r="A991" s="3"/>
      <c r="B991" s="14"/>
      <c r="C991" s="14"/>
      <c r="D991" s="14"/>
      <c r="E991" s="14"/>
      <c r="F991" s="14"/>
      <c r="G991" s="14"/>
      <c r="H991" s="14"/>
      <c r="I991" s="14"/>
      <c r="J991" s="3"/>
      <c r="K991" s="3"/>
      <c r="L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x14ac:dyDescent="0.2">
      <c r="A992" s="3"/>
      <c r="B992" s="14"/>
      <c r="C992" s="14"/>
      <c r="D992" s="14"/>
      <c r="E992" s="14"/>
      <c r="F992" s="14"/>
      <c r="G992" s="14"/>
      <c r="H992" s="14"/>
      <c r="I992" s="14"/>
      <c r="J992" s="3"/>
      <c r="K992" s="3"/>
      <c r="L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x14ac:dyDescent="0.2">
      <c r="A993" s="3"/>
      <c r="B993" s="14"/>
      <c r="C993" s="14"/>
      <c r="D993" s="14"/>
      <c r="E993" s="14"/>
      <c r="F993" s="14"/>
      <c r="G993" s="14"/>
      <c r="H993" s="14"/>
      <c r="I993" s="14"/>
      <c r="J993" s="3"/>
      <c r="K993" s="3"/>
      <c r="L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x14ac:dyDescent="0.2">
      <c r="A994" s="3"/>
      <c r="B994" s="14"/>
      <c r="C994" s="14"/>
      <c r="D994" s="14"/>
      <c r="E994" s="14"/>
      <c r="F994" s="14"/>
      <c r="G994" s="14"/>
      <c r="H994" s="14"/>
      <c r="I994" s="14"/>
      <c r="J994" s="3"/>
      <c r="K994" s="3"/>
      <c r="L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x14ac:dyDescent="0.2">
      <c r="A995" s="3"/>
      <c r="B995" s="14"/>
      <c r="C995" s="14"/>
      <c r="D995" s="14"/>
      <c r="E995" s="14"/>
      <c r="F995" s="14"/>
      <c r="G995" s="14"/>
      <c r="H995" s="14"/>
      <c r="I995" s="14"/>
      <c r="J995" s="3"/>
      <c r="K995" s="3"/>
      <c r="L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x14ac:dyDescent="0.2">
      <c r="A996" s="3"/>
      <c r="B996" s="14"/>
      <c r="C996" s="14"/>
      <c r="D996" s="14"/>
      <c r="E996" s="14"/>
      <c r="F996" s="14"/>
      <c r="G996" s="14"/>
      <c r="H996" s="14"/>
      <c r="I996" s="14"/>
      <c r="J996" s="3"/>
      <c r="K996" s="3"/>
      <c r="L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x14ac:dyDescent="0.2">
      <c r="A997" s="3"/>
      <c r="B997" s="14"/>
      <c r="C997" s="14"/>
      <c r="D997" s="14"/>
      <c r="E997" s="14"/>
      <c r="F997" s="14"/>
      <c r="G997" s="14"/>
      <c r="H997" s="14"/>
      <c r="I997" s="14"/>
      <c r="J997" s="3"/>
      <c r="K997" s="3"/>
      <c r="L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x14ac:dyDescent="0.2">
      <c r="A998" s="3"/>
      <c r="B998" s="14"/>
      <c r="C998" s="14"/>
      <c r="D998" s="14"/>
      <c r="E998" s="14"/>
      <c r="F998" s="14"/>
      <c r="G998" s="14"/>
      <c r="H998" s="14"/>
      <c r="I998" s="14"/>
      <c r="J998" s="3"/>
      <c r="K998" s="3"/>
      <c r="L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x14ac:dyDescent="0.2">
      <c r="A999" s="3"/>
      <c r="B999" s="14"/>
      <c r="C999" s="14"/>
      <c r="D999" s="14"/>
      <c r="E999" s="14"/>
      <c r="F999" s="14"/>
      <c r="G999" s="14"/>
      <c r="H999" s="14"/>
      <c r="I999" s="14"/>
      <c r="J999" s="3"/>
      <c r="K999" s="3"/>
      <c r="L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x14ac:dyDescent="0.2">
      <c r="A1000" s="3"/>
      <c r="B1000" s="14"/>
      <c r="C1000" s="14"/>
      <c r="D1000" s="14"/>
      <c r="E1000" s="14"/>
      <c r="F1000" s="14"/>
      <c r="G1000" s="14"/>
      <c r="H1000" s="14"/>
      <c r="I1000" s="14"/>
      <c r="J1000" s="3"/>
      <c r="K1000" s="3"/>
      <c r="L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strainedEF">
                <anchor moveWithCells="1" sizeWithCells="1">
                  <from>
                    <xdr:col>21</xdr:col>
                    <xdr:colOff>1104900</xdr:colOff>
                    <xdr:row>32</xdr:row>
                    <xdr:rowOff>254000</xdr:rowOff>
                  </from>
                  <to>
                    <xdr:col>25</xdr:col>
                    <xdr:colOff>292100</xdr:colOff>
                    <xdr:row>37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Q2 and 3</vt:lpstr>
      <vt:lpstr>Unconstrained EF (Q4)</vt:lpstr>
      <vt:lpstr>Constrained EF (Q5)</vt:lpstr>
      <vt:lpstr>Q6</vt:lpstr>
      <vt:lpstr>Summary (Q7)</vt:lpstr>
      <vt:lpstr>Indices (5 years)</vt:lpstr>
      <vt:lpstr>Indices (10 years)</vt:lpstr>
      <vt:lpstr>Indices (20 years)</vt:lpstr>
      <vt:lpstr>Indices (30 years)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Shuto Araki</dc:creator>
  <cp:lastModifiedBy>Microsoft Office User</cp:lastModifiedBy>
  <dcterms:created xsi:type="dcterms:W3CDTF">2018-02-25T22:41:28Z</dcterms:created>
  <dcterms:modified xsi:type="dcterms:W3CDTF">2018-06-09T04:43:21Z</dcterms:modified>
</cp:coreProperties>
</file>